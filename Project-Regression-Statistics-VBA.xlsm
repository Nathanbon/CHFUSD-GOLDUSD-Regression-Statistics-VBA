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tha\Desktop\"/>
    </mc:Choice>
  </mc:AlternateContent>
  <xr:revisionPtr revIDLastSave="0" documentId="13_ncr:1_{7748BF80-ED21-434A-9BF6-11CF61C05B04}" xr6:coauthVersionLast="47" xr6:coauthVersionMax="47" xr10:uidLastSave="{00000000-0000-0000-0000-000000000000}"/>
  <bookViews>
    <workbookView xWindow="-120" yWindow="-120" windowWidth="29040" windowHeight="15720" xr2:uid="{C79301D2-7A34-4B05-8C1F-73C7D8FCC68A}"/>
  </bookViews>
  <sheets>
    <sheet name="CHFUSD" sheetId="1" r:id="rId1"/>
    <sheet name="GOLDUSD" sheetId="59" r:id="rId2"/>
    <sheet name="COMPARISON" sheetId="65" r:id="rId3"/>
    <sheet name="Parameters" sheetId="34" state="hidden" r:id="rId4"/>
  </sheets>
  <definedNames>
    <definedName name="coeff1st">GOLDUSD!$H$2:$I$2</definedName>
    <definedName name="coeff1stdorder">COMPARISON!$H$2:$I$2</definedName>
    <definedName name="coeff1storder">GOLDUSD!$H$2:$I$2</definedName>
    <definedName name="error1st">GOLDUSD!$L$2</definedName>
    <definedName name="error1stOrder">COMPARISON!$G$2</definedName>
    <definedName name="solver_adj" localSheetId="2" hidden="1">COMPARISON!$H$2:$I$2</definedName>
    <definedName name="solver_adj" localSheetId="1" hidden="1">GOLDUSD!$H$2:$I$2</definedName>
    <definedName name="solver_eng" localSheetId="2" hidden="1">1</definedName>
    <definedName name="solver_eng" localSheetId="1" hidden="1">1</definedName>
    <definedName name="solver_neg" localSheetId="2" hidden="1">2</definedName>
    <definedName name="solver_neg" localSheetId="1" hidden="1">2</definedName>
    <definedName name="solver_num" localSheetId="2" hidden="1">0</definedName>
    <definedName name="solver_num" localSheetId="1" hidden="1">0</definedName>
    <definedName name="solver_opt" localSheetId="2" hidden="1">COMPARISON!$G$2</definedName>
    <definedName name="solver_opt" localSheetId="1" hidden="1">GOLDUSD!$L$2</definedName>
    <definedName name="solver_pre" localSheetId="2" hidden="1">0.00001</definedName>
    <definedName name="solver_pre" localSheetId="1" hidden="1">0.00001</definedName>
    <definedName name="solver_typ" localSheetId="2" hidden="1">2</definedName>
    <definedName name="solver_typ" localSheetId="1" hidden="1">2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" i="65" l="1"/>
  <c r="E3" i="65"/>
  <c r="F3" i="65" s="1"/>
  <c r="E4" i="65"/>
  <c r="F4" i="65" s="1"/>
  <c r="E5" i="65"/>
  <c r="F5" i="65" s="1"/>
  <c r="E6" i="65"/>
  <c r="F6" i="65" s="1"/>
  <c r="E7" i="65"/>
  <c r="F7" i="65" s="1"/>
  <c r="E8" i="65"/>
  <c r="F8" i="65" s="1"/>
  <c r="E9" i="65"/>
  <c r="F9" i="65" s="1"/>
  <c r="E10" i="65"/>
  <c r="F10" i="65" s="1"/>
  <c r="E11" i="65"/>
  <c r="F11" i="65" s="1"/>
  <c r="E12" i="65"/>
  <c r="F12" i="65" s="1"/>
  <c r="E13" i="65"/>
  <c r="F13" i="65" s="1"/>
  <c r="E14" i="65"/>
  <c r="F14" i="65" s="1"/>
  <c r="E15" i="65"/>
  <c r="F15" i="65" s="1"/>
  <c r="E16" i="65"/>
  <c r="F16" i="65" s="1"/>
  <c r="E17" i="65"/>
  <c r="F17" i="65" s="1"/>
  <c r="E18" i="65"/>
  <c r="F18" i="65" s="1"/>
  <c r="E19" i="65"/>
  <c r="F19" i="65" s="1"/>
  <c r="E20" i="65"/>
  <c r="F20" i="65" s="1"/>
  <c r="E21" i="65"/>
  <c r="F21" i="65" s="1"/>
  <c r="E22" i="65"/>
  <c r="F22" i="65" s="1"/>
  <c r="E23" i="65"/>
  <c r="F23" i="65" s="1"/>
  <c r="E24" i="65"/>
  <c r="F24" i="65" s="1"/>
  <c r="E25" i="65"/>
  <c r="F25" i="65" s="1"/>
  <c r="E26" i="65"/>
  <c r="F26" i="65" s="1"/>
  <c r="E27" i="65"/>
  <c r="F27" i="65" s="1"/>
  <c r="E28" i="65"/>
  <c r="F28" i="65" s="1"/>
  <c r="E29" i="65"/>
  <c r="F29" i="65" s="1"/>
  <c r="E30" i="65"/>
  <c r="F30" i="65" s="1"/>
  <c r="E31" i="65"/>
  <c r="F31" i="65" s="1"/>
  <c r="E32" i="65"/>
  <c r="F32" i="65" s="1"/>
  <c r="E33" i="65"/>
  <c r="F33" i="65" s="1"/>
  <c r="E34" i="65"/>
  <c r="F34" i="65" s="1"/>
  <c r="E35" i="65"/>
  <c r="F35" i="65" s="1"/>
  <c r="E36" i="65"/>
  <c r="F36" i="65" s="1"/>
  <c r="E37" i="65"/>
  <c r="F37" i="65" s="1"/>
  <c r="E38" i="65"/>
  <c r="F38" i="65" s="1"/>
  <c r="E39" i="65"/>
  <c r="F39" i="65" s="1"/>
  <c r="E40" i="65"/>
  <c r="F40" i="65" s="1"/>
  <c r="E41" i="65"/>
  <c r="F41" i="65" s="1"/>
  <c r="E42" i="65"/>
  <c r="F42" i="65" s="1"/>
  <c r="E43" i="65"/>
  <c r="F43" i="65" s="1"/>
  <c r="E44" i="65"/>
  <c r="F44" i="65" s="1"/>
  <c r="E45" i="65"/>
  <c r="F45" i="65" s="1"/>
  <c r="E46" i="65"/>
  <c r="F46" i="65" s="1"/>
  <c r="E47" i="65"/>
  <c r="F47" i="65" s="1"/>
  <c r="E48" i="65"/>
  <c r="F48" i="65" s="1"/>
  <c r="E49" i="65"/>
  <c r="F49" i="65" s="1"/>
  <c r="E50" i="65"/>
  <c r="F50" i="65" s="1"/>
  <c r="E51" i="65"/>
  <c r="F51" i="65" s="1"/>
  <c r="E52" i="65"/>
  <c r="F52" i="65" s="1"/>
  <c r="E53" i="65"/>
  <c r="F53" i="65" s="1"/>
  <c r="E54" i="65"/>
  <c r="F54" i="65" s="1"/>
  <c r="E55" i="65"/>
  <c r="F55" i="65" s="1"/>
  <c r="E56" i="65"/>
  <c r="F56" i="65" s="1"/>
  <c r="E57" i="65"/>
  <c r="F57" i="65" s="1"/>
  <c r="E58" i="65"/>
  <c r="F58" i="65" s="1"/>
  <c r="E59" i="65"/>
  <c r="F59" i="65" s="1"/>
  <c r="E60" i="65"/>
  <c r="F60" i="65" s="1"/>
  <c r="E61" i="65"/>
  <c r="F61" i="65" s="1"/>
  <c r="E62" i="65"/>
  <c r="F62" i="65" s="1"/>
  <c r="E63" i="65"/>
  <c r="F63" i="65" s="1"/>
  <c r="E64" i="65"/>
  <c r="F64" i="65" s="1"/>
  <c r="E65" i="65"/>
  <c r="F65" i="65" s="1"/>
  <c r="E66" i="65"/>
  <c r="F66" i="65" s="1"/>
  <c r="E67" i="65"/>
  <c r="F67" i="65" s="1"/>
  <c r="E68" i="65"/>
  <c r="F68" i="65" s="1"/>
  <c r="E69" i="65"/>
  <c r="F69" i="65" s="1"/>
  <c r="E70" i="65"/>
  <c r="F70" i="65" s="1"/>
  <c r="E71" i="65"/>
  <c r="F71" i="65" s="1"/>
  <c r="E72" i="65"/>
  <c r="F72" i="65" s="1"/>
  <c r="E73" i="65"/>
  <c r="F73" i="65" s="1"/>
  <c r="E74" i="65"/>
  <c r="F74" i="65" s="1"/>
  <c r="E75" i="65"/>
  <c r="F75" i="65" s="1"/>
  <c r="E76" i="65"/>
  <c r="F76" i="65" s="1"/>
  <c r="E77" i="65"/>
  <c r="F77" i="65" s="1"/>
  <c r="E78" i="65"/>
  <c r="F78" i="65" s="1"/>
  <c r="E79" i="65"/>
  <c r="F79" i="65" s="1"/>
  <c r="E80" i="65"/>
  <c r="F80" i="65" s="1"/>
  <c r="E81" i="65"/>
  <c r="F81" i="65" s="1"/>
  <c r="E82" i="65"/>
  <c r="F82" i="65" s="1"/>
  <c r="E83" i="65"/>
  <c r="F83" i="65" s="1"/>
  <c r="E84" i="65"/>
  <c r="F84" i="65" s="1"/>
  <c r="E85" i="65"/>
  <c r="F85" i="65" s="1"/>
  <c r="E86" i="65"/>
  <c r="F86" i="65" s="1"/>
  <c r="E87" i="65"/>
  <c r="F87" i="65" s="1"/>
  <c r="E88" i="65"/>
  <c r="F88" i="65" s="1"/>
  <c r="E89" i="65"/>
  <c r="F89" i="65" s="1"/>
  <c r="E90" i="65"/>
  <c r="F90" i="65" s="1"/>
  <c r="E91" i="65"/>
  <c r="F91" i="65" s="1"/>
  <c r="E92" i="65"/>
  <c r="F92" i="65" s="1"/>
  <c r="E93" i="65"/>
  <c r="F93" i="65" s="1"/>
  <c r="E94" i="65"/>
  <c r="F94" i="65" s="1"/>
  <c r="E95" i="65"/>
  <c r="F95" i="65" s="1"/>
  <c r="E96" i="65"/>
  <c r="F96" i="65" s="1"/>
  <c r="E97" i="65"/>
  <c r="F97" i="65" s="1"/>
  <c r="E2" i="65"/>
  <c r="F2" i="65" s="1"/>
  <c r="G2" i="65" l="1"/>
  <c r="R4" i="59"/>
  <c r="Q4" i="59"/>
  <c r="O4" i="59"/>
  <c r="N4" i="59"/>
  <c r="P4" i="59"/>
  <c r="N4" i="1"/>
  <c r="O4" i="1"/>
  <c r="P4" i="1"/>
  <c r="Q4" i="1"/>
  <c r="R4" i="1"/>
</calcChain>
</file>

<file path=xl/sharedStrings.xml><?xml version="1.0" encoding="utf-8"?>
<sst xmlns="http://schemas.openxmlformats.org/spreadsheetml/2006/main" count="22" uniqueCount="16">
  <si>
    <t>Call</t>
  </si>
  <si>
    <t>Put</t>
  </si>
  <si>
    <t>Yes</t>
  </si>
  <si>
    <t>No</t>
  </si>
  <si>
    <t>Choix possibles</t>
  </si>
  <si>
    <t>Greeks</t>
  </si>
  <si>
    <t>Checking statistics using the Excel function</t>
  </si>
  <si>
    <t>Mean</t>
  </si>
  <si>
    <t>Maximum</t>
  </si>
  <si>
    <t>Minimum</t>
  </si>
  <si>
    <t>Standard deviation</t>
  </si>
  <si>
    <t>Median</t>
  </si>
  <si>
    <t>Or generate some randomly with this button</t>
  </si>
  <si>
    <t>You must fill parameters a and b with values</t>
  </si>
  <si>
    <t>Don't forget to go in "formulas" and select "automatic" in "calculation options"</t>
  </si>
  <si>
    <t>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</si>
</sst>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</font>
    <font>
      <sz val="11"/>
      <color rgb="FFFF0000"/>
      <name val="Calibri"/>
      <family val="2"/>
    </font>
    <font>
      <sz val="11"/>
      <color rgb="FFFF9900"/>
      <name val="Calibri"/>
      <family val="2"/>
    </font>
    <font>
      <sz val="11"/>
      <color rgb="FF660066"/>
      <name val="Calibri"/>
      <family val="2"/>
    </font>
    <font>
      <b/>
      <sz val="11"/>
      <color rgb="FF993300"/>
      <name val="Calibri"/>
      <family val="2"/>
    </font>
    <font>
      <sz val="11"/>
      <color rgb="FF000000"/>
      <name val="Calibri"/>
      <family val="2"/>
    </font>
    <font>
      <sz val="11"/>
      <color rgb="FF808000"/>
      <name val="Calibri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4" borderId="1" xfId="0" applyFill="1" applyBorder="1"/>
    <xf numFmtId="0" fontId="0" fillId="3" borderId="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3" xfId="0" applyFill="1" applyBorder="1"/>
    <xf numFmtId="0" fontId="0" fillId="0" borderId="3" xfId="0" applyBorder="1"/>
    <xf numFmtId="0" fontId="0" fillId="5" borderId="0" xfId="0" applyFill="1" applyBorder="1"/>
    <xf numFmtId="0" fontId="0" fillId="0" borderId="0" xfId="0" applyAlignment="1"/>
    <xf numFmtId="0" fontId="8" fillId="6" borderId="1" xfId="0" applyFont="1" applyFill="1" applyBorder="1"/>
    <xf numFmtId="0" fontId="0" fillId="0" borderId="0" xfId="0" applyBorder="1"/>
    <xf numFmtId="0" fontId="0" fillId="0" borderId="0" xfId="0" applyFill="1"/>
    <xf numFmtId="164" fontId="0" fillId="0" borderId="0" xfId="0" applyNumberFormat="1" applyFill="1"/>
    <xf numFmtId="0" fontId="0" fillId="0" borderId="0" xfId="0" applyFill="1" applyBorder="1"/>
    <xf numFmtId="164" fontId="0" fillId="0" borderId="0" xfId="0" applyNumberFormat="1" applyFill="1" applyBorder="1"/>
    <xf numFmtId="0" fontId="0" fillId="0" borderId="4" xfId="0" applyBorder="1" applyAlignment="1">
      <alignment horizontal="center"/>
    </xf>
    <xf numFmtId="164" fontId="0" fillId="0" borderId="4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CHFUSD</a:t>
            </a:r>
            <a:r>
              <a:rPr lang="fr-FR" baseline="0"/>
              <a:t> VS GOLDUSD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8699724437858073E-3"/>
                  <c:y val="-6.580388426437845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COMPARISON!$B$2:$B$97</c:f>
              <c:numCache>
                <c:formatCode>0.0000</c:formatCode>
                <c:ptCount val="96"/>
              </c:numCache>
            </c:numRef>
          </c:xVal>
          <c:yVal>
            <c:numRef>
              <c:f>COMPARISON!$D$2:$D$97</c:f>
              <c:numCache>
                <c:formatCode>General</c:formatCode>
                <c:ptCount val="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6B-48D6-94BE-C90B1BFC0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963680"/>
        <c:axId val="735560832"/>
      </c:scatterChart>
      <c:valAx>
        <c:axId val="49796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5560832"/>
        <c:crosses val="autoZero"/>
        <c:crossBetween val="midCat"/>
      </c:valAx>
      <c:valAx>
        <c:axId val="73556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7963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</xdr:row>
          <xdr:rowOff>38100</xdr:rowOff>
        </xdr:from>
        <xdr:to>
          <xdr:col>10</xdr:col>
          <xdr:colOff>381000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Scraping Data CHF/USD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 from Yahoo Finance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371475</xdr:colOff>
          <xdr:row>5</xdr:row>
          <xdr:rowOff>152400</xdr:rowOff>
        </xdr:from>
        <xdr:to>
          <xdr:col>10</xdr:col>
          <xdr:colOff>142875</xdr:colOff>
          <xdr:row>8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Plot the CHF/USD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FF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9</xdr:row>
          <xdr:rowOff>171450</xdr:rowOff>
        </xdr:from>
        <xdr:to>
          <xdr:col>10</xdr:col>
          <xdr:colOff>38100</xdr:colOff>
          <xdr:row>12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Calculation of statistics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219076</xdr:colOff>
          <xdr:row>10</xdr:row>
          <xdr:rowOff>28575</xdr:rowOff>
        </xdr:from>
        <xdr:to>
          <xdr:col>17</xdr:col>
          <xdr:colOff>161926</xdr:colOff>
          <xdr:row>12</xdr:row>
          <xdr:rowOff>142874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1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Scraping GOLD USD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333375</xdr:colOff>
          <xdr:row>13</xdr:row>
          <xdr:rowOff>28575</xdr:rowOff>
        </xdr:from>
        <xdr:to>
          <xdr:col>17</xdr:col>
          <xdr:colOff>19050</xdr:colOff>
          <xdr:row>15</xdr:row>
          <xdr:rowOff>19050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1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660066"/>
                  </a:solidFill>
                  <a:latin typeface="Calibri"/>
                  <a:ea typeface="Calibri"/>
                  <a:cs typeface="Calibri"/>
                </a:rPr>
                <a:t>Deleting lines with 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485776</xdr:colOff>
          <xdr:row>16</xdr:row>
          <xdr:rowOff>19051</xdr:rowOff>
        </xdr:from>
        <xdr:to>
          <xdr:col>16</xdr:col>
          <xdr:colOff>581025</xdr:colOff>
          <xdr:row>17</xdr:row>
          <xdr:rowOff>171451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1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Plot GOLD/USD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209551</xdr:colOff>
          <xdr:row>18</xdr:row>
          <xdr:rowOff>95250</xdr:rowOff>
        </xdr:from>
        <xdr:to>
          <xdr:col>17</xdr:col>
          <xdr:colOff>133351</xdr:colOff>
          <xdr:row>21</xdr:row>
          <xdr:rowOff>66675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1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Calculation of 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12905</xdr:colOff>
          <xdr:row>0</xdr:row>
          <xdr:rowOff>135808</xdr:rowOff>
        </xdr:from>
        <xdr:to>
          <xdr:col>15</xdr:col>
          <xdr:colOff>327230</xdr:colOff>
          <xdr:row>5</xdr:row>
          <xdr:rowOff>39022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2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CHFUSD and GOLDUSD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and adjustment for matching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62681</xdr:colOff>
          <xdr:row>5</xdr:row>
          <xdr:rowOff>117066</xdr:rowOff>
        </xdr:from>
        <xdr:to>
          <xdr:col>15</xdr:col>
          <xdr:colOff>329381</xdr:colOff>
          <xdr:row>9</xdr:row>
          <xdr:rowOff>77428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2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Preparing Regression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542925</xdr:colOff>
          <xdr:row>13</xdr:row>
          <xdr:rowOff>66675</xdr:rowOff>
        </xdr:from>
        <xdr:to>
          <xdr:col>19</xdr:col>
          <xdr:colOff>342900</xdr:colOff>
          <xdr:row>14</xdr:row>
          <xdr:rowOff>142875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2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8000"/>
                  </a:solidFill>
                  <a:latin typeface="Calibri"/>
                  <a:ea typeface="Calibri"/>
                  <a:cs typeface="Calibri"/>
                </a:rPr>
                <a:t>Generate Random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199410</xdr:colOff>
          <xdr:row>15</xdr:row>
          <xdr:rowOff>66368</xdr:rowOff>
        </xdr:from>
        <xdr:to>
          <xdr:col>15</xdr:col>
          <xdr:colOff>75585</xdr:colOff>
          <xdr:row>19</xdr:row>
          <xdr:rowOff>85417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2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Compute the model and find a and b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291895</xdr:colOff>
      <xdr:row>6</xdr:row>
      <xdr:rowOff>69132</xdr:rowOff>
    </xdr:from>
    <xdr:to>
      <xdr:col>11</xdr:col>
      <xdr:colOff>561514</xdr:colOff>
      <xdr:row>19</xdr:row>
      <xdr:rowOff>38867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13711B1-CB29-7EE5-6804-CD02F16945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289437</xdr:colOff>
          <xdr:row>20</xdr:row>
          <xdr:rowOff>185583</xdr:rowOff>
        </xdr:from>
        <xdr:to>
          <xdr:col>14</xdr:col>
          <xdr:colOff>499295</xdr:colOff>
          <xdr:row>24</xdr:row>
          <xdr:rowOff>7681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2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Compute Correlation in VBA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F80B-B2A3-4718-9B79-85D3336DB12C}">
  <sheetPr codeName="Sheet1"/>
  <dimension ref="A2:R101"/>
  <sheetViews>
    <sheetView tabSelected="1" workbookViewId="0">
      <selection activeCell="R15" sqref="R15"/>
    </sheetView>
  </sheetViews>
  <sheetFormatPr defaultRowHeight="15" x14ac:dyDescent="0.25"/>
  <cols>
    <col min="1" max="1" width="22" style="2" customWidth="1"/>
    <col min="2" max="2" width="12.85546875" customWidth="1"/>
    <col min="14" max="15" width="10" customWidth="1"/>
    <col min="16" max="16" width="18.28515625" customWidth="1"/>
    <col min="17" max="17" width="8" customWidth="1"/>
  </cols>
  <sheetData>
    <row r="2" spans="2:18" x14ac:dyDescent="0.25">
      <c r="B2" s="1"/>
      <c r="C2" s="1"/>
      <c r="D2" s="1"/>
      <c r="E2" s="1"/>
      <c r="F2" s="1"/>
      <c r="N2" s="7" t="s">
        <v>6</v>
      </c>
      <c r="O2" s="7"/>
      <c r="P2" s="7"/>
      <c r="Q2" s="7"/>
      <c r="R2" s="7"/>
    </row>
    <row r="3" spans="2:18" x14ac:dyDescent="0.25">
      <c r="B3" s="1"/>
      <c r="C3" s="1"/>
      <c r="D3" s="1"/>
      <c r="E3" s="1"/>
      <c r="F3" s="1"/>
      <c r="N3" s="3" t="s">
        <v>8</v>
      </c>
      <c r="O3" s="3" t="s">
        <v>9</v>
      </c>
      <c r="P3" s="3" t="s">
        <v>10</v>
      </c>
      <c r="Q3" s="3" t="s">
        <v>11</v>
      </c>
      <c r="R3" s="3" t="s">
        <v>7</v>
      </c>
    </row>
    <row r="4" spans="2:18" x14ac:dyDescent="0.25">
      <c r="B4" s="1"/>
      <c r="C4" s="1"/>
      <c r="D4" s="1"/>
      <c r="E4" s="1"/>
      <c r="F4" s="1"/>
      <c r="N4" s="4">
        <f>MAX(F2:F101)</f>
        <v>0</v>
      </c>
      <c r="O4" s="4">
        <f>MIN(F2:F101)</f>
        <v>0</v>
      </c>
      <c r="P4" s="3" t="e">
        <f>STDEV(F2:F101)</f>
        <v>#DIV/0!</v>
      </c>
      <c r="Q4" s="4" t="e">
        <f>MEDIAN(F2:F101)</f>
        <v>#NUM!</v>
      </c>
      <c r="R4" s="4" t="e">
        <f>AVERAGE(F2:F101)</f>
        <v>#DIV/0!</v>
      </c>
    </row>
    <row r="5" spans="2:18" x14ac:dyDescent="0.25">
      <c r="B5" s="1"/>
      <c r="C5" s="1"/>
      <c r="D5" s="1"/>
      <c r="E5" s="1"/>
      <c r="F5" s="1"/>
    </row>
    <row r="6" spans="2:18" x14ac:dyDescent="0.25">
      <c r="B6" s="1"/>
      <c r="C6" s="1"/>
      <c r="D6" s="1"/>
      <c r="E6" s="1"/>
      <c r="F6" s="1"/>
    </row>
    <row r="7" spans="2:18" x14ac:dyDescent="0.25">
      <c r="B7" s="1"/>
      <c r="C7" s="1"/>
      <c r="D7" s="1"/>
      <c r="E7" s="1"/>
      <c r="F7" s="1"/>
    </row>
    <row r="8" spans="2:18" x14ac:dyDescent="0.25">
      <c r="B8" s="1"/>
      <c r="C8" s="1"/>
      <c r="D8" s="1"/>
      <c r="E8" s="1"/>
      <c r="F8" s="1"/>
    </row>
    <row r="9" spans="2:18" x14ac:dyDescent="0.25">
      <c r="B9" s="1"/>
      <c r="C9" s="1"/>
      <c r="D9" s="1"/>
      <c r="E9" s="1"/>
      <c r="F9" s="1"/>
    </row>
    <row r="10" spans="2:18" x14ac:dyDescent="0.25">
      <c r="B10" s="1"/>
      <c r="C10" s="1"/>
      <c r="D10" s="1"/>
      <c r="E10" s="1"/>
      <c r="F10" s="1"/>
    </row>
    <row r="11" spans="2:18" x14ac:dyDescent="0.25">
      <c r="B11" s="1"/>
      <c r="C11" s="1"/>
      <c r="D11" s="1"/>
      <c r="E11" s="1"/>
      <c r="F11" s="1"/>
    </row>
    <row r="12" spans="2:18" x14ac:dyDescent="0.25">
      <c r="B12" s="1"/>
      <c r="C12" s="1"/>
      <c r="D12" s="1"/>
      <c r="E12" s="1"/>
      <c r="F12" s="1"/>
    </row>
    <row r="13" spans="2:18" x14ac:dyDescent="0.25">
      <c r="B13" s="1"/>
      <c r="C13" s="1"/>
      <c r="D13" s="1"/>
      <c r="E13" s="1"/>
      <c r="F13" s="1"/>
    </row>
    <row r="14" spans="2:18" x14ac:dyDescent="0.25">
      <c r="B14" s="1"/>
      <c r="C14" s="1"/>
      <c r="D14" s="1"/>
      <c r="E14" s="1"/>
      <c r="F14" s="1"/>
      <c r="I14" s="1"/>
    </row>
    <row r="15" spans="2:18" x14ac:dyDescent="0.25">
      <c r="B15" s="1"/>
      <c r="C15" s="1"/>
      <c r="D15" s="1"/>
      <c r="E15" s="1"/>
      <c r="F15" s="1"/>
    </row>
    <row r="16" spans="2:18" x14ac:dyDescent="0.25">
      <c r="B16" s="1"/>
      <c r="C16" s="1"/>
      <c r="D16" s="1"/>
      <c r="E16" s="1"/>
      <c r="F16" s="1"/>
      <c r="I16" s="1"/>
    </row>
    <row r="17" spans="2:6" x14ac:dyDescent="0.25">
      <c r="B17" s="1"/>
      <c r="C17" s="1"/>
      <c r="D17" s="1"/>
      <c r="E17" s="1"/>
      <c r="F17" s="1"/>
    </row>
    <row r="18" spans="2:6" x14ac:dyDescent="0.25">
      <c r="B18" s="1"/>
      <c r="C18" s="1"/>
      <c r="D18" s="1"/>
      <c r="E18" s="1"/>
      <c r="F18" s="1"/>
    </row>
    <row r="19" spans="2:6" x14ac:dyDescent="0.25">
      <c r="B19" s="1"/>
      <c r="C19" s="1"/>
      <c r="D19" s="1"/>
      <c r="E19" s="1"/>
      <c r="F19" s="1"/>
    </row>
    <row r="20" spans="2:6" x14ac:dyDescent="0.25">
      <c r="B20" s="1"/>
      <c r="C20" s="1"/>
      <c r="D20" s="1"/>
      <c r="E20" s="1"/>
      <c r="F20" s="1"/>
    </row>
    <row r="21" spans="2:6" x14ac:dyDescent="0.25">
      <c r="B21" s="1"/>
      <c r="C21" s="1"/>
      <c r="D21" s="1"/>
      <c r="E21" s="1"/>
      <c r="F21" s="1"/>
    </row>
    <row r="22" spans="2:6" x14ac:dyDescent="0.25">
      <c r="B22" s="1"/>
      <c r="C22" s="1"/>
      <c r="D22" s="1"/>
      <c r="E22" s="1"/>
      <c r="F22" s="1"/>
    </row>
    <row r="23" spans="2:6" x14ac:dyDescent="0.25">
      <c r="B23" s="1"/>
      <c r="C23" s="1"/>
      <c r="D23" s="1"/>
      <c r="E23" s="1"/>
      <c r="F23" s="1"/>
    </row>
    <row r="24" spans="2:6" x14ac:dyDescent="0.25">
      <c r="B24" s="1"/>
      <c r="C24" s="1"/>
      <c r="D24" s="1"/>
      <c r="E24" s="1"/>
      <c r="F24" s="1"/>
    </row>
    <row r="25" spans="2:6" x14ac:dyDescent="0.25">
      <c r="B25" s="1"/>
      <c r="C25" s="1"/>
      <c r="D25" s="1"/>
      <c r="E25" s="1"/>
      <c r="F25" s="1"/>
    </row>
    <row r="26" spans="2:6" x14ac:dyDescent="0.25">
      <c r="B26" s="1"/>
      <c r="C26" s="1"/>
      <c r="D26" s="1"/>
      <c r="E26" s="1"/>
      <c r="F26" s="1"/>
    </row>
    <row r="27" spans="2:6" x14ac:dyDescent="0.25">
      <c r="B27" s="1"/>
      <c r="C27" s="1"/>
      <c r="D27" s="1"/>
      <c r="E27" s="1"/>
      <c r="F27" s="1"/>
    </row>
    <row r="28" spans="2:6" x14ac:dyDescent="0.25">
      <c r="B28" s="1"/>
      <c r="C28" s="1"/>
      <c r="D28" s="1"/>
      <c r="E28" s="1"/>
      <c r="F28" s="1"/>
    </row>
    <row r="29" spans="2:6" x14ac:dyDescent="0.25">
      <c r="B29" s="1"/>
      <c r="C29" s="1"/>
      <c r="D29" s="1"/>
      <c r="E29" s="1"/>
      <c r="F29" s="1"/>
    </row>
    <row r="30" spans="2:6" x14ac:dyDescent="0.25">
      <c r="B30" s="1"/>
      <c r="C30" s="1"/>
      <c r="D30" s="1"/>
      <c r="E30" s="1"/>
      <c r="F30" s="1"/>
    </row>
    <row r="31" spans="2:6" x14ac:dyDescent="0.25">
      <c r="B31" s="1"/>
      <c r="C31" s="1"/>
      <c r="D31" s="1"/>
      <c r="E31" s="1"/>
      <c r="F31" s="1"/>
    </row>
    <row r="32" spans="2:6" x14ac:dyDescent="0.25">
      <c r="B32" s="1"/>
      <c r="C32" s="1"/>
      <c r="D32" s="1"/>
      <c r="E32" s="1"/>
      <c r="F32" s="1"/>
    </row>
    <row r="33" spans="2:6" x14ac:dyDescent="0.25">
      <c r="B33" s="1"/>
      <c r="C33" s="1"/>
      <c r="D33" s="1"/>
      <c r="E33" s="1"/>
      <c r="F33" s="1"/>
    </row>
    <row r="34" spans="2:6" x14ac:dyDescent="0.25">
      <c r="B34" s="1"/>
      <c r="C34" s="1"/>
      <c r="D34" s="1"/>
      <c r="E34" s="1"/>
      <c r="F34" s="1"/>
    </row>
    <row r="35" spans="2:6" x14ac:dyDescent="0.25">
      <c r="B35" s="1"/>
      <c r="C35" s="1"/>
      <c r="D35" s="1"/>
      <c r="E35" s="1"/>
      <c r="F35" s="1"/>
    </row>
    <row r="36" spans="2:6" x14ac:dyDescent="0.25">
      <c r="B36" s="1"/>
      <c r="C36" s="1"/>
      <c r="D36" s="1"/>
      <c r="E36" s="1"/>
      <c r="F36" s="1"/>
    </row>
    <row r="37" spans="2:6" x14ac:dyDescent="0.25">
      <c r="B37" s="1"/>
      <c r="C37" s="1"/>
      <c r="D37" s="1"/>
      <c r="E37" s="1"/>
      <c r="F37" s="1"/>
    </row>
    <row r="38" spans="2:6" x14ac:dyDescent="0.25">
      <c r="B38" s="1"/>
      <c r="C38" s="1"/>
      <c r="D38" s="1"/>
      <c r="E38" s="1"/>
      <c r="F38" s="1"/>
    </row>
    <row r="39" spans="2:6" x14ac:dyDescent="0.25">
      <c r="B39" s="1"/>
      <c r="C39" s="1"/>
      <c r="D39" s="1"/>
      <c r="E39" s="1"/>
      <c r="F39" s="1"/>
    </row>
    <row r="40" spans="2:6" x14ac:dyDescent="0.25">
      <c r="B40" s="1"/>
      <c r="C40" s="1"/>
      <c r="D40" s="1"/>
      <c r="E40" s="1"/>
      <c r="F40" s="1"/>
    </row>
    <row r="41" spans="2:6" x14ac:dyDescent="0.25">
      <c r="B41" s="1"/>
      <c r="C41" s="1"/>
      <c r="D41" s="1"/>
      <c r="E41" s="1"/>
      <c r="F41" s="1"/>
    </row>
    <row r="42" spans="2:6" x14ac:dyDescent="0.25">
      <c r="B42" s="1"/>
      <c r="C42" s="1"/>
      <c r="D42" s="1"/>
      <c r="E42" s="1"/>
      <c r="F42" s="1"/>
    </row>
    <row r="43" spans="2:6" x14ac:dyDescent="0.25">
      <c r="B43" s="1"/>
      <c r="C43" s="1"/>
      <c r="D43" s="1"/>
      <c r="E43" s="1"/>
      <c r="F43" s="1"/>
    </row>
    <row r="44" spans="2:6" x14ac:dyDescent="0.25">
      <c r="B44" s="1"/>
      <c r="C44" s="1"/>
      <c r="D44" s="1"/>
      <c r="E44" s="1"/>
      <c r="F44" s="1"/>
    </row>
    <row r="45" spans="2:6" x14ac:dyDescent="0.25">
      <c r="B45" s="1"/>
      <c r="C45" s="1"/>
      <c r="D45" s="1"/>
      <c r="E45" s="1"/>
      <c r="F45" s="1"/>
    </row>
    <row r="46" spans="2:6" x14ac:dyDescent="0.25">
      <c r="B46" s="1"/>
      <c r="C46" s="1"/>
      <c r="D46" s="1"/>
      <c r="E46" s="1"/>
      <c r="F46" s="1"/>
    </row>
    <row r="47" spans="2:6" x14ac:dyDescent="0.25">
      <c r="B47" s="1"/>
      <c r="C47" s="1"/>
      <c r="D47" s="1"/>
      <c r="E47" s="1"/>
      <c r="F47" s="1"/>
    </row>
    <row r="48" spans="2:6" x14ac:dyDescent="0.25">
      <c r="B48" s="1"/>
      <c r="C48" s="1"/>
      <c r="D48" s="1"/>
      <c r="E48" s="1"/>
      <c r="F48" s="1"/>
    </row>
    <row r="49" spans="2:6" x14ac:dyDescent="0.25">
      <c r="B49" s="1"/>
      <c r="C49" s="1"/>
      <c r="D49" s="1"/>
      <c r="E49" s="1"/>
      <c r="F49" s="1"/>
    </row>
    <row r="50" spans="2:6" x14ac:dyDescent="0.25">
      <c r="B50" s="1"/>
      <c r="C50" s="1"/>
      <c r="D50" s="1"/>
      <c r="E50" s="1"/>
      <c r="F50" s="1"/>
    </row>
    <row r="51" spans="2:6" x14ac:dyDescent="0.25">
      <c r="B51" s="1"/>
      <c r="C51" s="1"/>
      <c r="D51" s="1"/>
      <c r="E51" s="1"/>
      <c r="F51" s="1"/>
    </row>
    <row r="52" spans="2:6" x14ac:dyDescent="0.25">
      <c r="B52" s="1"/>
      <c r="C52" s="1"/>
      <c r="D52" s="1"/>
      <c r="E52" s="1"/>
      <c r="F52" s="1"/>
    </row>
    <row r="53" spans="2:6" x14ac:dyDescent="0.25">
      <c r="B53" s="1"/>
      <c r="C53" s="1"/>
      <c r="D53" s="1"/>
      <c r="E53" s="1"/>
      <c r="F53" s="1"/>
    </row>
    <row r="54" spans="2:6" x14ac:dyDescent="0.25">
      <c r="B54" s="1"/>
      <c r="C54" s="1"/>
      <c r="D54" s="1"/>
      <c r="E54" s="1"/>
      <c r="F54" s="1"/>
    </row>
    <row r="55" spans="2:6" x14ac:dyDescent="0.25">
      <c r="B55" s="1"/>
      <c r="C55" s="1"/>
      <c r="D55" s="1"/>
      <c r="E55" s="1"/>
      <c r="F55" s="1"/>
    </row>
    <row r="56" spans="2:6" x14ac:dyDescent="0.25">
      <c r="B56" s="1"/>
      <c r="C56" s="1"/>
      <c r="D56" s="1"/>
      <c r="E56" s="1"/>
      <c r="F56" s="1"/>
    </row>
    <row r="57" spans="2:6" x14ac:dyDescent="0.25">
      <c r="B57" s="1"/>
      <c r="C57" s="1"/>
      <c r="D57" s="1"/>
      <c r="E57" s="1"/>
      <c r="F57" s="1"/>
    </row>
    <row r="58" spans="2:6" x14ac:dyDescent="0.25">
      <c r="B58" s="1"/>
      <c r="C58" s="1"/>
      <c r="D58" s="1"/>
      <c r="E58" s="1"/>
      <c r="F58" s="1"/>
    </row>
    <row r="59" spans="2:6" x14ac:dyDescent="0.25">
      <c r="B59" s="1"/>
      <c r="C59" s="1"/>
      <c r="D59" s="1"/>
      <c r="E59" s="1"/>
      <c r="F59" s="1"/>
    </row>
    <row r="60" spans="2:6" x14ac:dyDescent="0.25">
      <c r="B60" s="1"/>
      <c r="C60" s="1"/>
      <c r="D60" s="1"/>
      <c r="E60" s="1"/>
      <c r="F60" s="1"/>
    </row>
    <row r="61" spans="2:6" x14ac:dyDescent="0.25">
      <c r="B61" s="1"/>
      <c r="C61" s="1"/>
      <c r="D61" s="1"/>
      <c r="E61" s="1"/>
      <c r="F61" s="1"/>
    </row>
    <row r="62" spans="2:6" x14ac:dyDescent="0.25">
      <c r="B62" s="1"/>
      <c r="C62" s="1"/>
      <c r="D62" s="1"/>
      <c r="E62" s="1"/>
      <c r="F62" s="1"/>
    </row>
    <row r="63" spans="2:6" x14ac:dyDescent="0.25">
      <c r="B63" s="1"/>
      <c r="C63" s="1"/>
      <c r="D63" s="1"/>
      <c r="E63" s="1"/>
      <c r="F63" s="1"/>
    </row>
    <row r="64" spans="2:6" x14ac:dyDescent="0.25">
      <c r="B64" s="1"/>
      <c r="C64" s="1"/>
      <c r="D64" s="1"/>
      <c r="E64" s="1"/>
      <c r="F64" s="1"/>
    </row>
    <row r="65" spans="2:6" x14ac:dyDescent="0.25">
      <c r="B65" s="1"/>
      <c r="C65" s="1"/>
      <c r="D65" s="1"/>
      <c r="E65" s="1"/>
      <c r="F65" s="1"/>
    </row>
    <row r="66" spans="2:6" x14ac:dyDescent="0.25">
      <c r="B66" s="1"/>
      <c r="C66" s="1"/>
      <c r="D66" s="1"/>
      <c r="E66" s="1"/>
      <c r="F66" s="1"/>
    </row>
    <row r="67" spans="2:6" x14ac:dyDescent="0.25">
      <c r="B67" s="1"/>
      <c r="C67" s="1"/>
      <c r="D67" s="1"/>
      <c r="E67" s="1"/>
      <c r="F67" s="1"/>
    </row>
    <row r="68" spans="2:6" x14ac:dyDescent="0.25">
      <c r="B68" s="1"/>
      <c r="C68" s="1"/>
      <c r="D68" s="1"/>
      <c r="E68" s="1"/>
      <c r="F68" s="1"/>
    </row>
    <row r="69" spans="2:6" x14ac:dyDescent="0.25">
      <c r="B69" s="1"/>
      <c r="C69" s="1"/>
      <c r="D69" s="1"/>
      <c r="E69" s="1"/>
      <c r="F69" s="1"/>
    </row>
    <row r="70" spans="2:6" x14ac:dyDescent="0.25">
      <c r="B70" s="1"/>
      <c r="C70" s="1"/>
      <c r="D70" s="1"/>
      <c r="E70" s="1"/>
      <c r="F70" s="1"/>
    </row>
    <row r="71" spans="2:6" x14ac:dyDescent="0.25">
      <c r="B71" s="1"/>
      <c r="C71" s="1"/>
      <c r="D71" s="1"/>
      <c r="E71" s="1"/>
      <c r="F71" s="1"/>
    </row>
    <row r="72" spans="2:6" x14ac:dyDescent="0.25">
      <c r="B72" s="1"/>
      <c r="C72" s="1"/>
      <c r="D72" s="1"/>
      <c r="E72" s="1"/>
      <c r="F72" s="1"/>
    </row>
    <row r="73" spans="2:6" x14ac:dyDescent="0.25">
      <c r="B73" s="1"/>
      <c r="C73" s="1"/>
      <c r="D73" s="1"/>
      <c r="E73" s="1"/>
      <c r="F73" s="1"/>
    </row>
    <row r="74" spans="2:6" x14ac:dyDescent="0.25">
      <c r="B74" s="1"/>
      <c r="C74" s="1"/>
      <c r="D74" s="1"/>
      <c r="E74" s="1"/>
      <c r="F74" s="1"/>
    </row>
    <row r="75" spans="2:6" x14ac:dyDescent="0.25">
      <c r="B75" s="1"/>
      <c r="C75" s="1"/>
      <c r="D75" s="1"/>
      <c r="E75" s="1"/>
      <c r="F75" s="1"/>
    </row>
    <row r="76" spans="2:6" x14ac:dyDescent="0.25">
      <c r="B76" s="1"/>
      <c r="C76" s="1"/>
      <c r="D76" s="1"/>
      <c r="E76" s="1"/>
      <c r="F76" s="1"/>
    </row>
    <row r="77" spans="2:6" x14ac:dyDescent="0.25">
      <c r="B77" s="1"/>
      <c r="C77" s="1"/>
      <c r="D77" s="1"/>
      <c r="E77" s="1"/>
      <c r="F77" s="1"/>
    </row>
    <row r="78" spans="2:6" x14ac:dyDescent="0.25">
      <c r="B78" s="1"/>
      <c r="C78" s="1"/>
      <c r="D78" s="1"/>
      <c r="E78" s="1"/>
      <c r="F78" s="1"/>
    </row>
    <row r="79" spans="2:6" x14ac:dyDescent="0.25">
      <c r="B79" s="1"/>
      <c r="C79" s="1"/>
      <c r="D79" s="1"/>
      <c r="E79" s="1"/>
      <c r="F79" s="1"/>
    </row>
    <row r="80" spans="2:6" x14ac:dyDescent="0.25">
      <c r="B80" s="1"/>
      <c r="C80" s="1"/>
      <c r="D80" s="1"/>
      <c r="E80" s="1"/>
      <c r="F80" s="1"/>
    </row>
    <row r="81" spans="2:6" x14ac:dyDescent="0.25">
      <c r="B81" s="1"/>
      <c r="C81" s="1"/>
      <c r="D81" s="1"/>
      <c r="E81" s="1"/>
      <c r="F81" s="1"/>
    </row>
    <row r="82" spans="2:6" x14ac:dyDescent="0.25">
      <c r="B82" s="1"/>
      <c r="C82" s="1"/>
      <c r="D82" s="1"/>
      <c r="E82" s="1"/>
      <c r="F82" s="1"/>
    </row>
    <row r="83" spans="2:6" x14ac:dyDescent="0.25">
      <c r="B83" s="1"/>
      <c r="C83" s="1"/>
      <c r="D83" s="1"/>
      <c r="E83" s="1"/>
      <c r="F83" s="1"/>
    </row>
    <row r="84" spans="2:6" x14ac:dyDescent="0.25">
      <c r="B84" s="1"/>
      <c r="C84" s="1"/>
      <c r="D84" s="1"/>
      <c r="E84" s="1"/>
      <c r="F84" s="1"/>
    </row>
    <row r="85" spans="2:6" x14ac:dyDescent="0.25">
      <c r="B85" s="1"/>
      <c r="C85" s="1"/>
      <c r="D85" s="1"/>
      <c r="E85" s="1"/>
      <c r="F85" s="1"/>
    </row>
    <row r="86" spans="2:6" x14ac:dyDescent="0.25">
      <c r="B86" s="1"/>
      <c r="C86" s="1"/>
      <c r="D86" s="1"/>
      <c r="E86" s="1"/>
      <c r="F86" s="1"/>
    </row>
    <row r="87" spans="2:6" x14ac:dyDescent="0.25">
      <c r="B87" s="1"/>
      <c r="C87" s="1"/>
      <c r="D87" s="1"/>
      <c r="E87" s="1"/>
      <c r="F87" s="1"/>
    </row>
    <row r="88" spans="2:6" x14ac:dyDescent="0.25">
      <c r="B88" s="1"/>
      <c r="C88" s="1"/>
      <c r="D88" s="1"/>
      <c r="E88" s="1"/>
      <c r="F88" s="1"/>
    </row>
    <row r="89" spans="2:6" x14ac:dyDescent="0.25">
      <c r="B89" s="1"/>
      <c r="C89" s="1"/>
      <c r="D89" s="1"/>
      <c r="E89" s="1"/>
      <c r="F89" s="1"/>
    </row>
    <row r="90" spans="2:6" x14ac:dyDescent="0.25">
      <c r="B90" s="1"/>
      <c r="C90" s="1"/>
      <c r="D90" s="1"/>
      <c r="E90" s="1"/>
      <c r="F90" s="1"/>
    </row>
    <row r="91" spans="2:6" x14ac:dyDescent="0.25">
      <c r="B91" s="1"/>
      <c r="C91" s="1"/>
      <c r="D91" s="1"/>
      <c r="E91" s="1"/>
      <c r="F91" s="1"/>
    </row>
    <row r="92" spans="2:6" x14ac:dyDescent="0.25">
      <c r="B92" s="1"/>
      <c r="C92" s="1"/>
      <c r="D92" s="1"/>
      <c r="E92" s="1"/>
      <c r="F92" s="1"/>
    </row>
    <row r="93" spans="2:6" x14ac:dyDescent="0.25">
      <c r="B93" s="1"/>
      <c r="C93" s="1"/>
      <c r="D93" s="1"/>
      <c r="E93" s="1"/>
      <c r="F93" s="1"/>
    </row>
    <row r="94" spans="2:6" x14ac:dyDescent="0.25">
      <c r="B94" s="1"/>
      <c r="C94" s="1"/>
      <c r="D94" s="1"/>
      <c r="E94" s="1"/>
      <c r="F94" s="1"/>
    </row>
    <row r="95" spans="2:6" x14ac:dyDescent="0.25">
      <c r="B95" s="1"/>
      <c r="C95" s="1"/>
      <c r="D95" s="1"/>
      <c r="E95" s="1"/>
      <c r="F95" s="1"/>
    </row>
    <row r="96" spans="2:6" x14ac:dyDescent="0.25">
      <c r="B96" s="1"/>
      <c r="C96" s="1"/>
      <c r="D96" s="1"/>
      <c r="E96" s="1"/>
      <c r="F96" s="1"/>
    </row>
    <row r="97" spans="2:6" x14ac:dyDescent="0.25">
      <c r="B97" s="1"/>
      <c r="C97" s="1"/>
      <c r="D97" s="1"/>
      <c r="E97" s="1"/>
      <c r="F97" s="1"/>
    </row>
    <row r="98" spans="2:6" x14ac:dyDescent="0.25">
      <c r="B98" s="1"/>
      <c r="C98" s="1"/>
      <c r="D98" s="1"/>
      <c r="E98" s="1"/>
      <c r="F98" s="1"/>
    </row>
    <row r="99" spans="2:6" x14ac:dyDescent="0.25">
      <c r="B99" s="1"/>
      <c r="C99" s="1"/>
      <c r="D99" s="1"/>
      <c r="E99" s="1"/>
      <c r="F99" s="1"/>
    </row>
    <row r="100" spans="2:6" x14ac:dyDescent="0.25">
      <c r="B100" s="1"/>
      <c r="C100" s="1"/>
      <c r="D100" s="1"/>
      <c r="E100" s="1"/>
      <c r="F100" s="1"/>
    </row>
    <row r="101" spans="2:6" x14ac:dyDescent="0.25">
      <c r="B101" s="1"/>
      <c r="C101" s="1"/>
      <c r="D101" s="1"/>
      <c r="E101" s="1"/>
      <c r="F101" s="1"/>
    </row>
  </sheetData>
  <mergeCells count="1">
    <mergeCell ref="N2:R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crapingDataCHFUSD.scraping">
                <anchor moveWithCells="1" sizeWithCells="1">
                  <from>
                    <xdr:col>7</xdr:col>
                    <xdr:colOff>57150</xdr:colOff>
                    <xdr:row>1</xdr:row>
                    <xdr:rowOff>38100</xdr:rowOff>
                  </from>
                  <to>
                    <xdr:col>10</xdr:col>
                    <xdr:colOff>381000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crapingDataCHFUSD.Plot">
                <anchor moveWithCells="1" sizeWithCells="1">
                  <from>
                    <xdr:col>7</xdr:col>
                    <xdr:colOff>371475</xdr:colOff>
                    <xdr:row>5</xdr:row>
                    <xdr:rowOff>152400</xdr:rowOff>
                  </from>
                  <to>
                    <xdr:col>10</xdr:col>
                    <xdr:colOff>142875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lculerStatistiques">
                <anchor moveWithCells="1" sizeWithCells="1">
                  <from>
                    <xdr:col>7</xdr:col>
                    <xdr:colOff>457200</xdr:colOff>
                    <xdr:row>9</xdr:row>
                    <xdr:rowOff>171450</xdr:rowOff>
                  </from>
                  <to>
                    <xdr:col>10</xdr:col>
                    <xdr:colOff>38100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539D-743C-47D5-9ADC-FA384DD9AA31}">
  <sheetPr codeName="Sheet23"/>
  <dimension ref="B1:R99"/>
  <sheetViews>
    <sheetView workbookViewId="0">
      <selection activeCell="I9" sqref="I9"/>
    </sheetView>
  </sheetViews>
  <sheetFormatPr defaultRowHeight="15" x14ac:dyDescent="0.25"/>
  <cols>
    <col min="1" max="1" width="21.5703125" customWidth="1"/>
    <col min="2" max="6" width="9.5703125" bestFit="1" customWidth="1"/>
    <col min="7" max="7" width="11.5703125" bestFit="1" customWidth="1"/>
    <col min="11" max="11" width="28.7109375" customWidth="1"/>
    <col min="12" max="12" width="23" customWidth="1"/>
    <col min="14" max="15" width="9.5703125" bestFit="1" customWidth="1"/>
    <col min="17" max="18" width="9.5703125" bestFit="1" customWidth="1"/>
  </cols>
  <sheetData>
    <row r="1" spans="2:18" x14ac:dyDescent="0.25">
      <c r="H1" s="18"/>
      <c r="I1" s="18"/>
      <c r="J1" s="18"/>
      <c r="K1" s="18"/>
      <c r="L1" s="18"/>
      <c r="M1" s="18"/>
    </row>
    <row r="2" spans="2:18" x14ac:dyDescent="0.25">
      <c r="B2" s="1"/>
      <c r="C2" s="1"/>
      <c r="D2" s="1"/>
      <c r="E2" s="1"/>
      <c r="F2" s="1"/>
      <c r="G2" s="1"/>
      <c r="H2" s="18"/>
      <c r="I2" s="18"/>
      <c r="J2" s="18"/>
      <c r="K2" s="19"/>
      <c r="L2" s="19"/>
      <c r="M2" s="18"/>
      <c r="N2" s="8" t="s">
        <v>6</v>
      </c>
      <c r="O2" s="8"/>
      <c r="P2" s="8"/>
      <c r="Q2" s="8"/>
      <c r="R2" s="8"/>
    </row>
    <row r="3" spans="2:18" x14ac:dyDescent="0.25">
      <c r="B3" s="1"/>
      <c r="C3" s="1"/>
      <c r="D3" s="1"/>
      <c r="E3" s="1"/>
      <c r="F3" s="1"/>
      <c r="G3" s="1"/>
      <c r="H3" s="16"/>
      <c r="I3" s="16"/>
      <c r="J3" s="16"/>
      <c r="K3" s="17"/>
      <c r="L3" s="18"/>
      <c r="M3" s="18"/>
      <c r="N3" s="20" t="s">
        <v>8</v>
      </c>
      <c r="O3" s="3" t="s">
        <v>9</v>
      </c>
      <c r="P3" s="3" t="s">
        <v>10</v>
      </c>
      <c r="Q3" s="3" t="s">
        <v>11</v>
      </c>
      <c r="R3" s="3" t="s">
        <v>7</v>
      </c>
    </row>
    <row r="4" spans="2:18" x14ac:dyDescent="0.25">
      <c r="B4" s="1"/>
      <c r="C4" s="1"/>
      <c r="D4" s="1"/>
      <c r="E4" s="1"/>
      <c r="F4" s="1"/>
      <c r="G4" s="1"/>
      <c r="H4" s="16"/>
      <c r="I4" s="16"/>
      <c r="J4" s="16"/>
      <c r="K4" s="17"/>
      <c r="L4" s="18"/>
      <c r="M4" s="15"/>
      <c r="N4" s="21">
        <f>MAX(F2:F87)</f>
        <v>0</v>
      </c>
      <c r="O4" s="4">
        <f>MIN(F2:F87)</f>
        <v>0</v>
      </c>
      <c r="P4" s="3" t="e">
        <f>STDEV(F2:F89)</f>
        <v>#DIV/0!</v>
      </c>
      <c r="Q4" s="4" t="e">
        <f>MEDIAN(F2:F87)</f>
        <v>#NUM!</v>
      </c>
      <c r="R4" s="4" t="e">
        <f>AVERAGE(F2:F87)</f>
        <v>#DIV/0!</v>
      </c>
    </row>
    <row r="5" spans="2:18" x14ac:dyDescent="0.25">
      <c r="B5" s="1"/>
      <c r="C5" s="1"/>
      <c r="D5" s="1"/>
      <c r="E5" s="1"/>
      <c r="F5" s="1"/>
      <c r="G5" s="1"/>
      <c r="K5" s="1"/>
      <c r="L5" s="15"/>
      <c r="M5" s="15"/>
    </row>
    <row r="6" spans="2:18" x14ac:dyDescent="0.25">
      <c r="B6" s="1"/>
      <c r="C6" s="1"/>
      <c r="D6" s="1"/>
      <c r="E6" s="1"/>
      <c r="F6" s="1"/>
      <c r="G6" s="1"/>
      <c r="K6" s="1"/>
    </row>
    <row r="7" spans="2:18" x14ac:dyDescent="0.25">
      <c r="B7" s="1"/>
      <c r="C7" s="1"/>
      <c r="D7" s="1"/>
      <c r="E7" s="1"/>
      <c r="F7" s="1"/>
      <c r="G7" s="1"/>
      <c r="K7" s="1"/>
    </row>
    <row r="8" spans="2:18" x14ac:dyDescent="0.25">
      <c r="B8" s="1"/>
      <c r="C8" s="1"/>
      <c r="D8" s="1"/>
      <c r="E8" s="1"/>
      <c r="F8" s="1"/>
      <c r="G8" s="1"/>
      <c r="K8" s="1"/>
    </row>
    <row r="9" spans="2:18" x14ac:dyDescent="0.25">
      <c r="B9" s="1"/>
      <c r="C9" s="1"/>
      <c r="D9" s="1"/>
      <c r="E9" s="1"/>
      <c r="F9" s="1"/>
      <c r="G9" s="1"/>
      <c r="K9" s="1"/>
    </row>
    <row r="10" spans="2:18" x14ac:dyDescent="0.25">
      <c r="B10" s="1"/>
      <c r="C10" s="1"/>
      <c r="D10" s="1"/>
      <c r="E10" s="1"/>
      <c r="F10" s="1"/>
      <c r="G10" s="1"/>
      <c r="K10" s="1"/>
    </row>
    <row r="11" spans="2:18" x14ac:dyDescent="0.25">
      <c r="B11" s="1"/>
      <c r="C11" s="1"/>
      <c r="D11" s="1"/>
      <c r="E11" s="1"/>
      <c r="F11" s="1"/>
      <c r="G11" s="1"/>
      <c r="K11" s="1"/>
    </row>
    <row r="12" spans="2:18" x14ac:dyDescent="0.25">
      <c r="B12" s="1"/>
      <c r="C12" s="1"/>
      <c r="D12" s="1"/>
      <c r="E12" s="1"/>
      <c r="F12" s="1"/>
      <c r="G12" s="1"/>
      <c r="K12" s="1"/>
    </row>
    <row r="13" spans="2:18" x14ac:dyDescent="0.25">
      <c r="B13" s="1"/>
      <c r="C13" s="1"/>
      <c r="D13" s="1"/>
      <c r="E13" s="1"/>
      <c r="F13" s="1"/>
      <c r="G13" s="1"/>
      <c r="K13" s="1"/>
    </row>
    <row r="14" spans="2:18" x14ac:dyDescent="0.25">
      <c r="B14" s="1"/>
      <c r="C14" s="1"/>
      <c r="D14" s="1"/>
      <c r="E14" s="1"/>
      <c r="F14" s="1"/>
      <c r="G14" s="1"/>
      <c r="K14" s="1"/>
    </row>
    <row r="15" spans="2:18" x14ac:dyDescent="0.25">
      <c r="B15" s="1"/>
      <c r="C15" s="1"/>
      <c r="D15" s="1"/>
      <c r="E15" s="1"/>
      <c r="F15" s="1"/>
      <c r="G15" s="1"/>
      <c r="K15" s="1"/>
    </row>
    <row r="16" spans="2:18" x14ac:dyDescent="0.25">
      <c r="B16" s="1"/>
      <c r="C16" s="1"/>
      <c r="D16" s="1"/>
      <c r="E16" s="1"/>
      <c r="F16" s="1"/>
      <c r="G16" s="1"/>
      <c r="K16" s="1"/>
    </row>
    <row r="17" spans="2:11" x14ac:dyDescent="0.25">
      <c r="B17" s="1"/>
      <c r="C17" s="1"/>
      <c r="D17" s="1"/>
      <c r="E17" s="1"/>
      <c r="F17" s="1"/>
      <c r="G17" s="1"/>
      <c r="K17" s="1"/>
    </row>
    <row r="18" spans="2:11" x14ac:dyDescent="0.25">
      <c r="B18" s="1"/>
      <c r="C18" s="1"/>
      <c r="D18" s="1"/>
      <c r="E18" s="1"/>
      <c r="F18" s="1"/>
      <c r="G18" s="1"/>
      <c r="K18" s="1"/>
    </row>
    <row r="19" spans="2:11" x14ac:dyDescent="0.25">
      <c r="B19" s="1"/>
      <c r="C19" s="1"/>
      <c r="D19" s="1"/>
      <c r="E19" s="1"/>
      <c r="F19" s="1"/>
      <c r="G19" s="1"/>
      <c r="K19" s="1"/>
    </row>
    <row r="20" spans="2:11" x14ac:dyDescent="0.25">
      <c r="B20" s="1"/>
      <c r="C20" s="1"/>
      <c r="D20" s="1"/>
      <c r="E20" s="1"/>
      <c r="F20" s="1"/>
      <c r="G20" s="1"/>
      <c r="K20" s="1"/>
    </row>
    <row r="21" spans="2:11" x14ac:dyDescent="0.25">
      <c r="B21" s="1"/>
      <c r="C21" s="1"/>
      <c r="D21" s="1"/>
      <c r="E21" s="1"/>
      <c r="F21" s="1"/>
      <c r="G21" s="1"/>
      <c r="K21" s="1"/>
    </row>
    <row r="22" spans="2:11" x14ac:dyDescent="0.25">
      <c r="B22" s="1"/>
      <c r="C22" s="1"/>
      <c r="D22" s="1"/>
      <c r="E22" s="1"/>
      <c r="F22" s="1"/>
      <c r="G22" s="1"/>
      <c r="K22" s="1"/>
    </row>
    <row r="23" spans="2:11" x14ac:dyDescent="0.25">
      <c r="B23" s="1"/>
      <c r="C23" s="1"/>
      <c r="D23" s="1"/>
      <c r="E23" s="1"/>
      <c r="F23" s="1"/>
      <c r="G23" s="1"/>
      <c r="K23" s="1"/>
    </row>
    <row r="24" spans="2:11" x14ac:dyDescent="0.25">
      <c r="B24" s="1"/>
      <c r="C24" s="1"/>
      <c r="D24" s="1"/>
      <c r="E24" s="1"/>
      <c r="F24" s="1"/>
      <c r="G24" s="1"/>
      <c r="K24" s="1"/>
    </row>
    <row r="25" spans="2:11" x14ac:dyDescent="0.25">
      <c r="B25" s="1"/>
      <c r="C25" s="1"/>
      <c r="D25" s="1"/>
      <c r="E25" s="1"/>
      <c r="F25" s="1"/>
      <c r="G25" s="1"/>
      <c r="K25" s="1"/>
    </row>
    <row r="26" spans="2:11" x14ac:dyDescent="0.25">
      <c r="B26" s="1"/>
      <c r="C26" s="1"/>
      <c r="D26" s="1"/>
      <c r="E26" s="1"/>
      <c r="F26" s="1"/>
      <c r="G26" s="1"/>
      <c r="K26" s="1"/>
    </row>
    <row r="27" spans="2:11" x14ac:dyDescent="0.25">
      <c r="B27" s="1"/>
      <c r="C27" s="1"/>
      <c r="D27" s="1"/>
      <c r="E27" s="1"/>
      <c r="F27" s="1"/>
      <c r="G27" s="1"/>
      <c r="K27" s="1"/>
    </row>
    <row r="28" spans="2:11" x14ac:dyDescent="0.25">
      <c r="B28" s="1"/>
      <c r="C28" s="1"/>
      <c r="D28" s="1"/>
      <c r="E28" s="1"/>
      <c r="F28" s="1"/>
      <c r="G28" s="1"/>
      <c r="K28" s="1"/>
    </row>
    <row r="29" spans="2:11" x14ac:dyDescent="0.25">
      <c r="B29" s="1"/>
      <c r="C29" s="1"/>
      <c r="D29" s="1"/>
      <c r="E29" s="1"/>
      <c r="F29" s="1"/>
      <c r="G29" s="1"/>
      <c r="K29" s="1"/>
    </row>
    <row r="30" spans="2:11" x14ac:dyDescent="0.25">
      <c r="B30" s="1"/>
      <c r="C30" s="1"/>
      <c r="D30" s="1"/>
      <c r="E30" s="1"/>
      <c r="F30" s="1"/>
      <c r="G30" s="1"/>
      <c r="K30" s="1"/>
    </row>
    <row r="31" spans="2:11" x14ac:dyDescent="0.25">
      <c r="B31" s="1"/>
      <c r="C31" s="1"/>
      <c r="D31" s="1"/>
      <c r="E31" s="1"/>
      <c r="F31" s="1"/>
      <c r="G31" s="1"/>
      <c r="K31" s="1"/>
    </row>
    <row r="32" spans="2:11" x14ac:dyDescent="0.25">
      <c r="B32" s="1"/>
      <c r="C32" s="1"/>
      <c r="D32" s="1"/>
      <c r="E32" s="1"/>
      <c r="F32" s="1"/>
      <c r="G32" s="1"/>
      <c r="K32" s="1"/>
    </row>
    <row r="33" spans="2:11" x14ac:dyDescent="0.25">
      <c r="B33" s="1"/>
      <c r="C33" s="1"/>
      <c r="D33" s="1"/>
      <c r="E33" s="1"/>
      <c r="F33" s="1"/>
      <c r="G33" s="1"/>
      <c r="K33" s="1"/>
    </row>
    <row r="34" spans="2:11" x14ac:dyDescent="0.25">
      <c r="B34" s="1"/>
      <c r="C34" s="1"/>
      <c r="D34" s="1"/>
      <c r="E34" s="1"/>
      <c r="F34" s="1"/>
      <c r="G34" s="1"/>
      <c r="K34" s="1"/>
    </row>
    <row r="35" spans="2:11" x14ac:dyDescent="0.25">
      <c r="B35" s="1"/>
      <c r="C35" s="1"/>
      <c r="D35" s="1"/>
      <c r="E35" s="1"/>
      <c r="F35" s="1"/>
      <c r="G35" s="1"/>
      <c r="K35" s="1"/>
    </row>
    <row r="36" spans="2:11" x14ac:dyDescent="0.25">
      <c r="B36" s="1"/>
      <c r="C36" s="1"/>
      <c r="D36" s="1"/>
      <c r="E36" s="1"/>
      <c r="F36" s="1"/>
      <c r="G36" s="1"/>
      <c r="K36" s="1"/>
    </row>
    <row r="37" spans="2:11" x14ac:dyDescent="0.25">
      <c r="B37" s="1"/>
      <c r="C37" s="1"/>
      <c r="D37" s="1"/>
      <c r="E37" s="1"/>
      <c r="F37" s="1"/>
      <c r="G37" s="1"/>
      <c r="K37" s="1"/>
    </row>
    <row r="38" spans="2:11" x14ac:dyDescent="0.25">
      <c r="B38" s="1"/>
      <c r="C38" s="1"/>
      <c r="D38" s="1"/>
      <c r="E38" s="1"/>
      <c r="F38" s="1"/>
      <c r="G38" s="1"/>
      <c r="K38" s="1"/>
    </row>
    <row r="39" spans="2:11" x14ac:dyDescent="0.25">
      <c r="B39" s="1"/>
      <c r="C39" s="1"/>
      <c r="D39" s="1"/>
      <c r="E39" s="1"/>
      <c r="F39" s="1"/>
      <c r="G39" s="1"/>
      <c r="K39" s="1"/>
    </row>
    <row r="40" spans="2:11" x14ac:dyDescent="0.25">
      <c r="B40" s="1"/>
      <c r="C40" s="1"/>
      <c r="D40" s="1"/>
      <c r="E40" s="1"/>
      <c r="F40" s="1"/>
      <c r="G40" s="1"/>
      <c r="K40" s="1"/>
    </row>
    <row r="41" spans="2:11" x14ac:dyDescent="0.25">
      <c r="B41" s="1"/>
      <c r="C41" s="1"/>
      <c r="D41" s="1"/>
      <c r="E41" s="1"/>
      <c r="F41" s="1"/>
      <c r="G41" s="1"/>
      <c r="K41" s="1"/>
    </row>
    <row r="42" spans="2:11" x14ac:dyDescent="0.25">
      <c r="B42" s="1"/>
      <c r="C42" s="1"/>
      <c r="D42" s="1"/>
      <c r="E42" s="1"/>
      <c r="F42" s="1"/>
      <c r="G42" s="1"/>
      <c r="K42" s="1"/>
    </row>
    <row r="43" spans="2:11" x14ac:dyDescent="0.25">
      <c r="B43" s="1"/>
      <c r="C43" s="1"/>
      <c r="D43" s="1"/>
      <c r="E43" s="1"/>
      <c r="F43" s="1"/>
      <c r="G43" s="1"/>
      <c r="K43" s="1"/>
    </row>
    <row r="44" spans="2:11" x14ac:dyDescent="0.25">
      <c r="B44" s="1"/>
      <c r="C44" s="1"/>
      <c r="D44" s="1"/>
      <c r="E44" s="1"/>
      <c r="F44" s="1"/>
      <c r="G44" s="1"/>
      <c r="K44" s="1"/>
    </row>
    <row r="45" spans="2:11" x14ac:dyDescent="0.25">
      <c r="B45" s="1"/>
      <c r="C45" s="1"/>
      <c r="D45" s="1"/>
      <c r="E45" s="1"/>
      <c r="F45" s="1"/>
      <c r="G45" s="1"/>
      <c r="K45" s="1"/>
    </row>
    <row r="46" spans="2:11" x14ac:dyDescent="0.25">
      <c r="B46" s="1"/>
      <c r="C46" s="1"/>
      <c r="D46" s="1"/>
      <c r="E46" s="1"/>
      <c r="F46" s="1"/>
      <c r="G46" s="1"/>
      <c r="K46" s="1"/>
    </row>
    <row r="47" spans="2:11" x14ac:dyDescent="0.25">
      <c r="B47" s="1"/>
      <c r="C47" s="1"/>
      <c r="D47" s="1"/>
      <c r="E47" s="1"/>
      <c r="F47" s="1"/>
      <c r="G47" s="1"/>
      <c r="K47" s="1"/>
    </row>
    <row r="48" spans="2:11" x14ac:dyDescent="0.25">
      <c r="B48" s="1"/>
      <c r="C48" s="1"/>
      <c r="D48" s="1"/>
      <c r="E48" s="1"/>
      <c r="F48" s="1"/>
      <c r="G48" s="1"/>
      <c r="K48" s="1"/>
    </row>
    <row r="49" spans="2:11" x14ac:dyDescent="0.25">
      <c r="B49" s="1"/>
      <c r="C49" s="1"/>
      <c r="D49" s="1"/>
      <c r="E49" s="1"/>
      <c r="F49" s="1"/>
      <c r="G49" s="1"/>
      <c r="K49" s="1"/>
    </row>
    <row r="50" spans="2:11" x14ac:dyDescent="0.25">
      <c r="B50" s="1"/>
      <c r="C50" s="1"/>
      <c r="D50" s="1"/>
      <c r="E50" s="1"/>
      <c r="F50" s="1"/>
      <c r="G50" s="1"/>
      <c r="K50" s="1"/>
    </row>
    <row r="51" spans="2:11" x14ac:dyDescent="0.25">
      <c r="B51" s="1"/>
      <c r="C51" s="1"/>
      <c r="D51" s="1"/>
      <c r="E51" s="1"/>
      <c r="F51" s="1"/>
      <c r="G51" s="1"/>
      <c r="K51" s="1"/>
    </row>
    <row r="52" spans="2:11" x14ac:dyDescent="0.25">
      <c r="B52" s="1"/>
      <c r="C52" s="1"/>
      <c r="D52" s="1"/>
      <c r="E52" s="1"/>
      <c r="F52" s="1"/>
      <c r="G52" s="1"/>
      <c r="K52" s="1"/>
    </row>
    <row r="53" spans="2:11" x14ac:dyDescent="0.25">
      <c r="B53" s="1"/>
      <c r="C53" s="1"/>
      <c r="D53" s="1"/>
      <c r="E53" s="1"/>
      <c r="F53" s="1"/>
      <c r="G53" s="1"/>
      <c r="K53" s="1"/>
    </row>
    <row r="54" spans="2:11" x14ac:dyDescent="0.25">
      <c r="B54" s="1"/>
      <c r="C54" s="1"/>
      <c r="D54" s="1"/>
      <c r="E54" s="1"/>
      <c r="F54" s="1"/>
      <c r="G54" s="1"/>
      <c r="K54" s="1"/>
    </row>
    <row r="55" spans="2:11" x14ac:dyDescent="0.25">
      <c r="B55" s="1"/>
      <c r="C55" s="1"/>
      <c r="D55" s="1"/>
      <c r="E55" s="1"/>
      <c r="F55" s="1"/>
      <c r="G55" s="1"/>
      <c r="K55" s="1"/>
    </row>
    <row r="56" spans="2:11" x14ac:dyDescent="0.25">
      <c r="B56" s="1"/>
      <c r="C56" s="1"/>
      <c r="D56" s="1"/>
      <c r="E56" s="1"/>
      <c r="F56" s="1"/>
      <c r="G56" s="1"/>
      <c r="K56" s="1"/>
    </row>
    <row r="57" spans="2:11" x14ac:dyDescent="0.25">
      <c r="B57" s="1"/>
      <c r="C57" s="1"/>
      <c r="D57" s="1"/>
      <c r="E57" s="1"/>
      <c r="F57" s="1"/>
      <c r="G57" s="1"/>
      <c r="K57" s="1"/>
    </row>
    <row r="58" spans="2:11" x14ac:dyDescent="0.25">
      <c r="B58" s="1"/>
      <c r="C58" s="1"/>
      <c r="D58" s="1"/>
      <c r="E58" s="1"/>
      <c r="F58" s="1"/>
      <c r="G58" s="1"/>
      <c r="K58" s="1"/>
    </row>
    <row r="59" spans="2:11" x14ac:dyDescent="0.25">
      <c r="B59" s="1"/>
      <c r="C59" s="1"/>
      <c r="D59" s="1"/>
      <c r="E59" s="1"/>
      <c r="F59" s="1"/>
      <c r="G59" s="1"/>
      <c r="K59" s="1"/>
    </row>
    <row r="60" spans="2:11" x14ac:dyDescent="0.25">
      <c r="B60" s="1"/>
      <c r="C60" s="1"/>
      <c r="D60" s="1"/>
      <c r="E60" s="1"/>
      <c r="F60" s="1"/>
      <c r="G60" s="1"/>
      <c r="K60" s="1"/>
    </row>
    <row r="61" spans="2:11" x14ac:dyDescent="0.25">
      <c r="B61" s="1"/>
      <c r="C61" s="1"/>
      <c r="D61" s="1"/>
      <c r="E61" s="1"/>
      <c r="F61" s="1"/>
      <c r="G61" s="1"/>
      <c r="K61" s="1"/>
    </row>
    <row r="62" spans="2:11" x14ac:dyDescent="0.25">
      <c r="B62" s="1"/>
      <c r="C62" s="1"/>
      <c r="D62" s="1"/>
      <c r="E62" s="1"/>
      <c r="F62" s="1"/>
      <c r="G62" s="1"/>
      <c r="K62" s="1"/>
    </row>
    <row r="63" spans="2:11" x14ac:dyDescent="0.25">
      <c r="B63" s="1"/>
      <c r="C63" s="1"/>
      <c r="D63" s="1"/>
      <c r="E63" s="1"/>
      <c r="F63" s="1"/>
      <c r="G63" s="1"/>
      <c r="K63" s="1"/>
    </row>
    <row r="64" spans="2:11" x14ac:dyDescent="0.25">
      <c r="B64" s="1"/>
      <c r="C64" s="1"/>
      <c r="D64" s="1"/>
      <c r="E64" s="1"/>
      <c r="F64" s="1"/>
      <c r="G64" s="1"/>
      <c r="K64" s="1"/>
    </row>
    <row r="65" spans="2:11" x14ac:dyDescent="0.25">
      <c r="B65" s="1"/>
      <c r="C65" s="1"/>
      <c r="D65" s="1"/>
      <c r="E65" s="1"/>
      <c r="F65" s="1"/>
      <c r="G65" s="1"/>
      <c r="K65" s="1"/>
    </row>
    <row r="66" spans="2:11" x14ac:dyDescent="0.25">
      <c r="B66" s="1"/>
      <c r="C66" s="1"/>
      <c r="D66" s="1"/>
      <c r="E66" s="1"/>
      <c r="F66" s="1"/>
      <c r="G66" s="1"/>
      <c r="K66" s="1"/>
    </row>
    <row r="67" spans="2:11" x14ac:dyDescent="0.25">
      <c r="B67" s="1"/>
      <c r="C67" s="1"/>
      <c r="D67" s="1"/>
      <c r="E67" s="1"/>
      <c r="F67" s="1"/>
      <c r="G67" s="1"/>
      <c r="K67" s="1"/>
    </row>
    <row r="68" spans="2:11" x14ac:dyDescent="0.25">
      <c r="B68" s="1"/>
      <c r="C68" s="1"/>
      <c r="D68" s="1"/>
      <c r="E68" s="1"/>
      <c r="F68" s="1"/>
      <c r="G68" s="1"/>
      <c r="K68" s="1"/>
    </row>
    <row r="69" spans="2:11" x14ac:dyDescent="0.25">
      <c r="B69" s="1"/>
      <c r="C69" s="1"/>
      <c r="D69" s="1"/>
      <c r="E69" s="1"/>
      <c r="F69" s="1"/>
      <c r="G69" s="1"/>
      <c r="K69" s="1"/>
    </row>
    <row r="70" spans="2:11" x14ac:dyDescent="0.25">
      <c r="B70" s="1"/>
      <c r="C70" s="1"/>
      <c r="D70" s="1"/>
      <c r="E70" s="1"/>
      <c r="F70" s="1"/>
      <c r="G70" s="1"/>
      <c r="K70" s="1"/>
    </row>
    <row r="71" spans="2:11" x14ac:dyDescent="0.25">
      <c r="B71" s="1"/>
      <c r="C71" s="1"/>
      <c r="D71" s="1"/>
      <c r="E71" s="1"/>
      <c r="F71" s="1"/>
      <c r="G71" s="1"/>
      <c r="K71" s="1"/>
    </row>
    <row r="72" spans="2:11" x14ac:dyDescent="0.25">
      <c r="B72" s="1"/>
      <c r="C72" s="1"/>
      <c r="D72" s="1"/>
      <c r="E72" s="1"/>
      <c r="F72" s="1"/>
      <c r="G72" s="1"/>
      <c r="K72" s="1"/>
    </row>
    <row r="73" spans="2:11" x14ac:dyDescent="0.25">
      <c r="B73" s="1"/>
      <c r="C73" s="1"/>
      <c r="D73" s="1"/>
      <c r="E73" s="1"/>
      <c r="F73" s="1"/>
      <c r="G73" s="1"/>
      <c r="K73" s="1"/>
    </row>
    <row r="74" spans="2:11" x14ac:dyDescent="0.25">
      <c r="B74" s="1"/>
      <c r="C74" s="1"/>
      <c r="D74" s="1"/>
      <c r="E74" s="1"/>
      <c r="F74" s="1"/>
      <c r="G74" s="1"/>
      <c r="K74" s="1"/>
    </row>
    <row r="75" spans="2:11" x14ac:dyDescent="0.25">
      <c r="B75" s="1"/>
      <c r="C75" s="1"/>
      <c r="D75" s="1"/>
      <c r="E75" s="1"/>
      <c r="F75" s="1"/>
      <c r="G75" s="1"/>
      <c r="K75" s="1"/>
    </row>
    <row r="76" spans="2:11" x14ac:dyDescent="0.25">
      <c r="B76" s="1"/>
      <c r="C76" s="1"/>
      <c r="D76" s="1"/>
      <c r="E76" s="1"/>
      <c r="F76" s="1"/>
      <c r="G76" s="1"/>
      <c r="K76" s="1"/>
    </row>
    <row r="77" spans="2:11" x14ac:dyDescent="0.25">
      <c r="B77" s="1"/>
      <c r="C77" s="1"/>
      <c r="D77" s="1"/>
      <c r="E77" s="1"/>
      <c r="F77" s="1"/>
      <c r="G77" s="1"/>
      <c r="K77" s="1"/>
    </row>
    <row r="78" spans="2:11" x14ac:dyDescent="0.25">
      <c r="B78" s="1"/>
      <c r="C78" s="1"/>
      <c r="D78" s="1"/>
      <c r="E78" s="1"/>
      <c r="F78" s="1"/>
      <c r="G78" s="1"/>
      <c r="K78" s="1"/>
    </row>
    <row r="79" spans="2:11" x14ac:dyDescent="0.25">
      <c r="B79" s="1"/>
      <c r="C79" s="1"/>
      <c r="D79" s="1"/>
      <c r="E79" s="1"/>
      <c r="F79" s="1"/>
      <c r="G79" s="1"/>
      <c r="K79" s="1"/>
    </row>
    <row r="80" spans="2:11" x14ac:dyDescent="0.25">
      <c r="B80" s="1"/>
      <c r="C80" s="1"/>
      <c r="D80" s="1"/>
      <c r="E80" s="1"/>
      <c r="F80" s="1"/>
      <c r="G80" s="1"/>
      <c r="K80" s="1"/>
    </row>
    <row r="81" spans="2:11" x14ac:dyDescent="0.25">
      <c r="B81" s="1"/>
      <c r="C81" s="1"/>
      <c r="D81" s="1"/>
      <c r="E81" s="1"/>
      <c r="F81" s="1"/>
      <c r="G81" s="1"/>
      <c r="K81" s="1"/>
    </row>
    <row r="82" spans="2:11" x14ac:dyDescent="0.25">
      <c r="B82" s="1"/>
      <c r="C82" s="1"/>
      <c r="D82" s="1"/>
      <c r="E82" s="1"/>
      <c r="F82" s="1"/>
      <c r="G82" s="1"/>
      <c r="K82" s="1"/>
    </row>
    <row r="83" spans="2:11" x14ac:dyDescent="0.25">
      <c r="B83" s="1"/>
      <c r="C83" s="1"/>
      <c r="D83" s="1"/>
      <c r="E83" s="1"/>
      <c r="F83" s="1"/>
      <c r="G83" s="1"/>
      <c r="K83" s="1"/>
    </row>
    <row r="84" spans="2:11" x14ac:dyDescent="0.25">
      <c r="B84" s="1"/>
      <c r="C84" s="1"/>
      <c r="D84" s="1"/>
      <c r="E84" s="1"/>
      <c r="F84" s="1"/>
      <c r="G84" s="1"/>
      <c r="K84" s="1"/>
    </row>
    <row r="85" spans="2:11" x14ac:dyDescent="0.25">
      <c r="B85" s="1"/>
      <c r="C85" s="1"/>
      <c r="D85" s="1"/>
      <c r="E85" s="1"/>
      <c r="F85" s="1"/>
      <c r="G85" s="1"/>
      <c r="K85" s="1"/>
    </row>
    <row r="86" spans="2:11" x14ac:dyDescent="0.25">
      <c r="B86" s="1"/>
      <c r="C86" s="1"/>
      <c r="D86" s="1"/>
      <c r="E86" s="1"/>
      <c r="F86" s="1"/>
      <c r="G86" s="1"/>
      <c r="K86" s="1"/>
    </row>
    <row r="87" spans="2:11" x14ac:dyDescent="0.25">
      <c r="B87" s="1"/>
      <c r="C87" s="1"/>
      <c r="D87" s="1"/>
      <c r="E87" s="1"/>
      <c r="F87" s="1"/>
      <c r="G87" s="1"/>
      <c r="K87" s="1"/>
    </row>
    <row r="88" spans="2:11" x14ac:dyDescent="0.25">
      <c r="B88" s="1"/>
      <c r="C88" s="1"/>
      <c r="D88" s="1"/>
      <c r="E88" s="1"/>
      <c r="F88" s="1"/>
      <c r="G88" s="1"/>
      <c r="K88" s="1"/>
    </row>
    <row r="89" spans="2:11" x14ac:dyDescent="0.25">
      <c r="B89" s="1"/>
      <c r="C89" s="1"/>
      <c r="D89" s="1"/>
      <c r="E89" s="1"/>
      <c r="F89" s="1"/>
      <c r="G89" s="1"/>
      <c r="K89" s="1"/>
    </row>
    <row r="90" spans="2:11" x14ac:dyDescent="0.25">
      <c r="B90" s="1"/>
      <c r="C90" s="1"/>
      <c r="D90" s="1"/>
      <c r="E90" s="1"/>
      <c r="F90" s="1"/>
      <c r="G90" s="1"/>
      <c r="K90" s="1"/>
    </row>
    <row r="91" spans="2:11" x14ac:dyDescent="0.25">
      <c r="B91" s="1"/>
      <c r="C91" s="1"/>
      <c r="D91" s="1"/>
      <c r="E91" s="1"/>
      <c r="F91" s="1"/>
      <c r="G91" s="1"/>
      <c r="K91" s="1"/>
    </row>
    <row r="92" spans="2:11" x14ac:dyDescent="0.25">
      <c r="B92" s="1"/>
      <c r="C92" s="1"/>
      <c r="D92" s="1"/>
      <c r="E92" s="1"/>
      <c r="F92" s="1"/>
      <c r="G92" s="1"/>
      <c r="K92" s="1"/>
    </row>
    <row r="93" spans="2:11" x14ac:dyDescent="0.25">
      <c r="B93" s="1"/>
      <c r="C93" s="1"/>
      <c r="D93" s="1"/>
      <c r="E93" s="1"/>
      <c r="F93" s="1"/>
      <c r="G93" s="1"/>
      <c r="K93" s="1"/>
    </row>
    <row r="94" spans="2:11" x14ac:dyDescent="0.25">
      <c r="B94" s="1"/>
      <c r="C94" s="1"/>
      <c r="D94" s="1"/>
      <c r="E94" s="1"/>
      <c r="F94" s="1"/>
      <c r="G94" s="1"/>
    </row>
    <row r="95" spans="2:11" x14ac:dyDescent="0.25">
      <c r="B95" s="1"/>
      <c r="C95" s="1"/>
      <c r="D95" s="1"/>
      <c r="E95" s="1"/>
      <c r="F95" s="1"/>
      <c r="G95" s="1"/>
    </row>
    <row r="96" spans="2:11" x14ac:dyDescent="0.25">
      <c r="B96" s="1"/>
      <c r="C96" s="1"/>
      <c r="D96" s="1"/>
      <c r="E96" s="1"/>
      <c r="F96" s="1"/>
      <c r="G96" s="1"/>
    </row>
    <row r="97" spans="2:7" x14ac:dyDescent="0.25">
      <c r="B97" s="1"/>
      <c r="C97" s="1"/>
      <c r="D97" s="1"/>
      <c r="E97" s="1"/>
      <c r="F97" s="1"/>
      <c r="G97" s="1"/>
    </row>
    <row r="98" spans="2:7" x14ac:dyDescent="0.25">
      <c r="B98" s="1"/>
      <c r="C98" s="1"/>
      <c r="D98" s="1"/>
      <c r="E98" s="1"/>
      <c r="F98" s="1"/>
      <c r="G98" s="1"/>
    </row>
    <row r="99" spans="2:7" x14ac:dyDescent="0.25">
      <c r="B99" s="1"/>
      <c r="C99" s="1"/>
      <c r="D99" s="1"/>
      <c r="E99" s="1"/>
      <c r="F99" s="1"/>
      <c r="G99" s="1"/>
    </row>
  </sheetData>
  <mergeCells count="1">
    <mergeCell ref="N2:R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ScrapingDataGOLDUSD.scraping">
                <anchor moveWithCells="1" siz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17</xdr:col>
                    <xdr:colOff>161925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DeletingLines.DeletingLines">
                <anchor moveWithCells="1" sizeWithCells="1">
                  <from>
                    <xdr:col>14</xdr:col>
                    <xdr:colOff>333375</xdr:colOff>
                    <xdr:row>13</xdr:row>
                    <xdr:rowOff>28575</xdr:rowOff>
                  </from>
                  <to>
                    <xdr:col>17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ScrapingDataGOLDUSD.Plot">
                <anchor moveWithCells="1" sizeWithCells="1">
                  <from>
                    <xdr:col>14</xdr:col>
                    <xdr:colOff>485775</xdr:colOff>
                    <xdr:row>16</xdr:row>
                    <xdr:rowOff>19050</xdr:rowOff>
                  </from>
                  <to>
                    <xdr:col>16</xdr:col>
                    <xdr:colOff>581025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CalculerStatistiques">
                <anchor moveWithCells="1" sizeWithCells="1">
                  <from>
                    <xdr:col>14</xdr:col>
                    <xdr:colOff>209550</xdr:colOff>
                    <xdr:row>18</xdr:row>
                    <xdr:rowOff>95250</xdr:rowOff>
                  </from>
                  <to>
                    <xdr:col>17</xdr:col>
                    <xdr:colOff>133350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B8C4E-F39B-4133-BDF9-061051299549}">
  <sheetPr codeName="Sheet5"/>
  <dimension ref="A1:Q98"/>
  <sheetViews>
    <sheetView zoomScale="124" zoomScaleNormal="124" workbookViewId="0">
      <selection activeCell="H4" sqref="H4"/>
    </sheetView>
  </sheetViews>
  <sheetFormatPr defaultRowHeight="15" x14ac:dyDescent="0.25"/>
  <cols>
    <col min="1" max="1" width="13.7109375" customWidth="1"/>
    <col min="2" max="2" width="12.7109375" customWidth="1"/>
    <col min="3" max="3" width="16.7109375" customWidth="1"/>
    <col min="13" max="13" width="10.140625" customWidth="1"/>
  </cols>
  <sheetData>
    <row r="1" spans="1:17" x14ac:dyDescent="0.25">
      <c r="H1" s="6"/>
      <c r="I1" s="10"/>
      <c r="J1" s="12"/>
    </row>
    <row r="2" spans="1:17" x14ac:dyDescent="0.25">
      <c r="A2" s="2"/>
      <c r="B2" s="1"/>
      <c r="E2">
        <f>$H$2*$B2+$I$2</f>
        <v>0</v>
      </c>
      <c r="F2">
        <f>(D2-E2)^2</f>
        <v>0</v>
      </c>
      <c r="G2">
        <f>SUM(F2:F97)</f>
        <v>0</v>
      </c>
      <c r="H2" s="5"/>
      <c r="I2" s="11"/>
      <c r="J2" s="12"/>
    </row>
    <row r="3" spans="1:17" x14ac:dyDescent="0.25">
      <c r="A3" s="2"/>
      <c r="B3" s="1"/>
      <c r="E3">
        <f t="shared" ref="E3:E66" si="0">$H$2*$B3+$I$2</f>
        <v>0</v>
      </c>
      <c r="F3">
        <f t="shared" ref="F3:F66" si="1">(D3-E3)^2</f>
        <v>0</v>
      </c>
    </row>
    <row r="4" spans="1:17" x14ac:dyDescent="0.25">
      <c r="A4" s="2"/>
      <c r="B4" s="1"/>
      <c r="E4">
        <f t="shared" si="0"/>
        <v>0</v>
      </c>
      <c r="F4">
        <f t="shared" si="1"/>
        <v>0</v>
      </c>
    </row>
    <row r="5" spans="1:17" x14ac:dyDescent="0.25">
      <c r="A5" s="2"/>
      <c r="B5" s="1"/>
      <c r="E5">
        <f t="shared" si="0"/>
        <v>0</v>
      </c>
      <c r="F5">
        <f t="shared" si="1"/>
        <v>0</v>
      </c>
    </row>
    <row r="6" spans="1:17" x14ac:dyDescent="0.25">
      <c r="A6" s="2"/>
      <c r="B6" s="1"/>
      <c r="E6">
        <f t="shared" si="0"/>
        <v>0</v>
      </c>
      <c r="F6">
        <f t="shared" si="1"/>
        <v>0</v>
      </c>
    </row>
    <row r="7" spans="1:17" x14ac:dyDescent="0.25">
      <c r="A7" s="2"/>
      <c r="B7" s="1"/>
      <c r="E7">
        <f t="shared" si="0"/>
        <v>0</v>
      </c>
      <c r="F7">
        <f t="shared" si="1"/>
        <v>0</v>
      </c>
    </row>
    <row r="8" spans="1:17" x14ac:dyDescent="0.25">
      <c r="A8" s="2"/>
      <c r="B8" s="1"/>
      <c r="E8">
        <f t="shared" si="0"/>
        <v>0</v>
      </c>
      <c r="F8">
        <f t="shared" si="1"/>
        <v>0</v>
      </c>
    </row>
    <row r="9" spans="1:17" x14ac:dyDescent="0.25">
      <c r="A9" s="2"/>
      <c r="B9" s="1"/>
      <c r="E9">
        <f t="shared" si="0"/>
        <v>0</v>
      </c>
      <c r="F9">
        <f t="shared" si="1"/>
        <v>0</v>
      </c>
    </row>
    <row r="10" spans="1:17" x14ac:dyDescent="0.25">
      <c r="A10" s="2"/>
      <c r="B10" s="1"/>
      <c r="E10">
        <f t="shared" si="0"/>
        <v>0</v>
      </c>
      <c r="F10">
        <f t="shared" si="1"/>
        <v>0</v>
      </c>
    </row>
    <row r="11" spans="1:17" x14ac:dyDescent="0.25">
      <c r="A11" s="2"/>
      <c r="B11" s="1"/>
      <c r="E11">
        <f t="shared" si="0"/>
        <v>0</v>
      </c>
      <c r="F11">
        <f t="shared" si="1"/>
        <v>0</v>
      </c>
      <c r="N11" s="13" t="s">
        <v>14</v>
      </c>
      <c r="O11" s="13"/>
      <c r="P11" s="13"/>
    </row>
    <row r="12" spans="1:17" x14ac:dyDescent="0.25">
      <c r="A12" s="2"/>
      <c r="B12" s="1"/>
      <c r="E12">
        <f t="shared" si="0"/>
        <v>0</v>
      </c>
      <c r="F12">
        <f t="shared" si="1"/>
        <v>0</v>
      </c>
      <c r="N12" s="13"/>
      <c r="O12" s="13"/>
      <c r="P12" s="13"/>
    </row>
    <row r="13" spans="1:17" x14ac:dyDescent="0.25">
      <c r="A13" s="2"/>
      <c r="B13" s="1"/>
      <c r="E13">
        <f t="shared" si="0"/>
        <v>0</v>
      </c>
      <c r="F13">
        <f t="shared" si="1"/>
        <v>0</v>
      </c>
    </row>
    <row r="14" spans="1:17" x14ac:dyDescent="0.25">
      <c r="A14" s="2"/>
      <c r="B14" s="1"/>
      <c r="E14">
        <f t="shared" si="0"/>
        <v>0</v>
      </c>
      <c r="F14">
        <f t="shared" si="1"/>
        <v>0</v>
      </c>
      <c r="M14" t="s">
        <v>13</v>
      </c>
    </row>
    <row r="15" spans="1:17" x14ac:dyDescent="0.25">
      <c r="A15" s="2"/>
      <c r="B15" s="1"/>
      <c r="E15">
        <f t="shared" si="0"/>
        <v>0</v>
      </c>
      <c r="F15">
        <f t="shared" si="1"/>
        <v>0</v>
      </c>
      <c r="M15" s="9" t="s">
        <v>12</v>
      </c>
      <c r="N15" s="9"/>
      <c r="O15" s="9"/>
      <c r="P15" s="9"/>
      <c r="Q15" s="9"/>
    </row>
    <row r="16" spans="1:17" x14ac:dyDescent="0.25">
      <c r="A16" s="2"/>
      <c r="B16" s="1"/>
      <c r="E16">
        <f t="shared" si="0"/>
        <v>0</v>
      </c>
      <c r="F16">
        <f t="shared" si="1"/>
        <v>0</v>
      </c>
    </row>
    <row r="17" spans="1:13" x14ac:dyDescent="0.25">
      <c r="A17" s="2"/>
      <c r="B17" s="1"/>
      <c r="E17">
        <f t="shared" si="0"/>
        <v>0</v>
      </c>
      <c r="F17">
        <f t="shared" si="1"/>
        <v>0</v>
      </c>
    </row>
    <row r="18" spans="1:13" x14ac:dyDescent="0.25">
      <c r="A18" s="2"/>
      <c r="B18" s="1"/>
      <c r="E18">
        <f t="shared" si="0"/>
        <v>0</v>
      </c>
      <c r="F18">
        <f t="shared" si="1"/>
        <v>0</v>
      </c>
    </row>
    <row r="19" spans="1:13" x14ac:dyDescent="0.25">
      <c r="A19" s="2"/>
      <c r="B19" s="1"/>
      <c r="E19">
        <f t="shared" si="0"/>
        <v>0</v>
      </c>
      <c r="F19">
        <f t="shared" si="1"/>
        <v>0</v>
      </c>
    </row>
    <row r="20" spans="1:13" x14ac:dyDescent="0.25">
      <c r="A20" s="2"/>
      <c r="B20" s="1"/>
      <c r="E20">
        <f t="shared" si="0"/>
        <v>0</v>
      </c>
      <c r="F20">
        <f t="shared" si="1"/>
        <v>0</v>
      </c>
    </row>
    <row r="21" spans="1:13" x14ac:dyDescent="0.25">
      <c r="A21" s="2"/>
      <c r="B21" s="1"/>
      <c r="E21">
        <f t="shared" si="0"/>
        <v>0</v>
      </c>
      <c r="F21">
        <f t="shared" si="1"/>
        <v>0</v>
      </c>
    </row>
    <row r="22" spans="1:13" x14ac:dyDescent="0.25">
      <c r="A22" s="2"/>
      <c r="B22" s="1"/>
      <c r="E22">
        <f t="shared" si="0"/>
        <v>0</v>
      </c>
      <c r="F22">
        <f t="shared" si="1"/>
        <v>0</v>
      </c>
    </row>
    <row r="23" spans="1:13" x14ac:dyDescent="0.25">
      <c r="A23" s="2"/>
      <c r="B23" s="1"/>
      <c r="E23">
        <f t="shared" si="0"/>
        <v>0</v>
      </c>
      <c r="F23">
        <f t="shared" si="1"/>
        <v>0</v>
      </c>
      <c r="M23" s="14" t="s">
        <v>15</v>
      </c>
    </row>
    <row r="24" spans="1:13" x14ac:dyDescent="0.25">
      <c r="A24" s="2"/>
      <c r="B24" s="1"/>
      <c r="E24">
        <f t="shared" si="0"/>
        <v>0</v>
      </c>
      <c r="F24">
        <f t="shared" si="1"/>
        <v>0</v>
      </c>
      <c r="M24" s="5" t="e">
        <f>CORREL(B2:B97,D2:D97)</f>
        <v>#DIV/0!</v>
      </c>
    </row>
    <row r="25" spans="1:13" x14ac:dyDescent="0.25">
      <c r="A25" s="2"/>
      <c r="B25" s="1"/>
      <c r="E25">
        <f t="shared" si="0"/>
        <v>0</v>
      </c>
      <c r="F25">
        <f t="shared" si="1"/>
        <v>0</v>
      </c>
    </row>
    <row r="26" spans="1:13" x14ac:dyDescent="0.25">
      <c r="A26" s="2"/>
      <c r="B26" s="1"/>
      <c r="E26">
        <f t="shared" si="0"/>
        <v>0</v>
      </c>
      <c r="F26">
        <f t="shared" si="1"/>
        <v>0</v>
      </c>
    </row>
    <row r="27" spans="1:13" x14ac:dyDescent="0.25">
      <c r="A27" s="2"/>
      <c r="B27" s="1"/>
      <c r="E27">
        <f t="shared" si="0"/>
        <v>0</v>
      </c>
      <c r="F27">
        <f t="shared" si="1"/>
        <v>0</v>
      </c>
    </row>
    <row r="28" spans="1:13" x14ac:dyDescent="0.25">
      <c r="A28" s="2"/>
      <c r="B28" s="1"/>
      <c r="E28">
        <f t="shared" si="0"/>
        <v>0</v>
      </c>
      <c r="F28">
        <f t="shared" si="1"/>
        <v>0</v>
      </c>
    </row>
    <row r="29" spans="1:13" x14ac:dyDescent="0.25">
      <c r="A29" s="2"/>
      <c r="B29" s="1"/>
      <c r="E29">
        <f t="shared" si="0"/>
        <v>0</v>
      </c>
      <c r="F29">
        <f t="shared" si="1"/>
        <v>0</v>
      </c>
    </row>
    <row r="30" spans="1:13" x14ac:dyDescent="0.25">
      <c r="A30" s="2"/>
      <c r="B30" s="1"/>
      <c r="E30">
        <f t="shared" si="0"/>
        <v>0</v>
      </c>
      <c r="F30">
        <f t="shared" si="1"/>
        <v>0</v>
      </c>
    </row>
    <row r="31" spans="1:13" x14ac:dyDescent="0.25">
      <c r="A31" s="2"/>
      <c r="B31" s="1"/>
      <c r="E31">
        <f t="shared" si="0"/>
        <v>0</v>
      </c>
      <c r="F31">
        <f t="shared" si="1"/>
        <v>0</v>
      </c>
    </row>
    <row r="32" spans="1:13" x14ac:dyDescent="0.25">
      <c r="A32" s="2"/>
      <c r="B32" s="1"/>
      <c r="E32">
        <f t="shared" si="0"/>
        <v>0</v>
      </c>
      <c r="F32">
        <f t="shared" si="1"/>
        <v>0</v>
      </c>
    </row>
    <row r="33" spans="1:6" x14ac:dyDescent="0.25">
      <c r="A33" s="2"/>
      <c r="B33" s="1"/>
      <c r="E33">
        <f t="shared" si="0"/>
        <v>0</v>
      </c>
      <c r="F33">
        <f t="shared" si="1"/>
        <v>0</v>
      </c>
    </row>
    <row r="34" spans="1:6" x14ac:dyDescent="0.25">
      <c r="A34" s="2"/>
      <c r="B34" s="1"/>
      <c r="E34">
        <f t="shared" si="0"/>
        <v>0</v>
      </c>
      <c r="F34">
        <f t="shared" si="1"/>
        <v>0</v>
      </c>
    </row>
    <row r="35" spans="1:6" x14ac:dyDescent="0.25">
      <c r="A35" s="2"/>
      <c r="B35" s="1"/>
      <c r="E35">
        <f t="shared" si="0"/>
        <v>0</v>
      </c>
      <c r="F35">
        <f t="shared" si="1"/>
        <v>0</v>
      </c>
    </row>
    <row r="36" spans="1:6" x14ac:dyDescent="0.25">
      <c r="A36" s="2"/>
      <c r="B36" s="1"/>
      <c r="E36">
        <f t="shared" si="0"/>
        <v>0</v>
      </c>
      <c r="F36">
        <f t="shared" si="1"/>
        <v>0</v>
      </c>
    </row>
    <row r="37" spans="1:6" x14ac:dyDescent="0.25">
      <c r="A37" s="2"/>
      <c r="B37" s="1"/>
      <c r="E37">
        <f t="shared" si="0"/>
        <v>0</v>
      </c>
      <c r="F37">
        <f t="shared" si="1"/>
        <v>0</v>
      </c>
    </row>
    <row r="38" spans="1:6" x14ac:dyDescent="0.25">
      <c r="A38" s="2"/>
      <c r="B38" s="1"/>
      <c r="E38">
        <f t="shared" si="0"/>
        <v>0</v>
      </c>
      <c r="F38">
        <f t="shared" si="1"/>
        <v>0</v>
      </c>
    </row>
    <row r="39" spans="1:6" x14ac:dyDescent="0.25">
      <c r="A39" s="2"/>
      <c r="B39" s="1"/>
      <c r="E39">
        <f t="shared" si="0"/>
        <v>0</v>
      </c>
      <c r="F39">
        <f t="shared" si="1"/>
        <v>0</v>
      </c>
    </row>
    <row r="40" spans="1:6" x14ac:dyDescent="0.25">
      <c r="A40" s="2"/>
      <c r="B40" s="1"/>
      <c r="E40">
        <f t="shared" si="0"/>
        <v>0</v>
      </c>
      <c r="F40">
        <f t="shared" si="1"/>
        <v>0</v>
      </c>
    </row>
    <row r="41" spans="1:6" x14ac:dyDescent="0.25">
      <c r="A41" s="2"/>
      <c r="B41" s="1"/>
      <c r="E41">
        <f t="shared" si="0"/>
        <v>0</v>
      </c>
      <c r="F41">
        <f t="shared" si="1"/>
        <v>0</v>
      </c>
    </row>
    <row r="42" spans="1:6" x14ac:dyDescent="0.25">
      <c r="A42" s="2"/>
      <c r="B42" s="1"/>
      <c r="E42">
        <f t="shared" si="0"/>
        <v>0</v>
      </c>
      <c r="F42">
        <f t="shared" si="1"/>
        <v>0</v>
      </c>
    </row>
    <row r="43" spans="1:6" x14ac:dyDescent="0.25">
      <c r="A43" s="2"/>
      <c r="B43" s="1"/>
      <c r="E43">
        <f t="shared" si="0"/>
        <v>0</v>
      </c>
      <c r="F43">
        <f t="shared" si="1"/>
        <v>0</v>
      </c>
    </row>
    <row r="44" spans="1:6" x14ac:dyDescent="0.25">
      <c r="A44" s="2"/>
      <c r="B44" s="1"/>
      <c r="E44">
        <f t="shared" si="0"/>
        <v>0</v>
      </c>
      <c r="F44">
        <f t="shared" si="1"/>
        <v>0</v>
      </c>
    </row>
    <row r="45" spans="1:6" x14ac:dyDescent="0.25">
      <c r="A45" s="2"/>
      <c r="B45" s="1"/>
      <c r="E45">
        <f t="shared" si="0"/>
        <v>0</v>
      </c>
      <c r="F45">
        <f t="shared" si="1"/>
        <v>0</v>
      </c>
    </row>
    <row r="46" spans="1:6" x14ac:dyDescent="0.25">
      <c r="A46" s="2"/>
      <c r="B46" s="1"/>
      <c r="E46">
        <f t="shared" si="0"/>
        <v>0</v>
      </c>
      <c r="F46">
        <f t="shared" si="1"/>
        <v>0</v>
      </c>
    </row>
    <row r="47" spans="1:6" x14ac:dyDescent="0.25">
      <c r="A47" s="2"/>
      <c r="B47" s="1"/>
      <c r="E47">
        <f t="shared" si="0"/>
        <v>0</v>
      </c>
      <c r="F47">
        <f t="shared" si="1"/>
        <v>0</v>
      </c>
    </row>
    <row r="48" spans="1:6" x14ac:dyDescent="0.25">
      <c r="A48" s="2"/>
      <c r="B48" s="1"/>
      <c r="E48">
        <f t="shared" si="0"/>
        <v>0</v>
      </c>
      <c r="F48">
        <f t="shared" si="1"/>
        <v>0</v>
      </c>
    </row>
    <row r="49" spans="1:6" x14ac:dyDescent="0.25">
      <c r="A49" s="2"/>
      <c r="B49" s="1"/>
      <c r="E49">
        <f t="shared" si="0"/>
        <v>0</v>
      </c>
      <c r="F49">
        <f t="shared" si="1"/>
        <v>0</v>
      </c>
    </row>
    <row r="50" spans="1:6" x14ac:dyDescent="0.25">
      <c r="A50" s="2"/>
      <c r="B50" s="1"/>
      <c r="E50">
        <f t="shared" si="0"/>
        <v>0</v>
      </c>
      <c r="F50">
        <f t="shared" si="1"/>
        <v>0</v>
      </c>
    </row>
    <row r="51" spans="1:6" x14ac:dyDescent="0.25">
      <c r="A51" s="2"/>
      <c r="B51" s="1"/>
      <c r="E51">
        <f t="shared" si="0"/>
        <v>0</v>
      </c>
      <c r="F51">
        <f t="shared" si="1"/>
        <v>0</v>
      </c>
    </row>
    <row r="52" spans="1:6" x14ac:dyDescent="0.25">
      <c r="A52" s="2"/>
      <c r="B52" s="1"/>
      <c r="E52">
        <f t="shared" si="0"/>
        <v>0</v>
      </c>
      <c r="F52">
        <f t="shared" si="1"/>
        <v>0</v>
      </c>
    </row>
    <row r="53" spans="1:6" x14ac:dyDescent="0.25">
      <c r="A53" s="2"/>
      <c r="B53" s="1"/>
      <c r="E53">
        <f t="shared" si="0"/>
        <v>0</v>
      </c>
      <c r="F53">
        <f t="shared" si="1"/>
        <v>0</v>
      </c>
    </row>
    <row r="54" spans="1:6" x14ac:dyDescent="0.25">
      <c r="A54" s="2"/>
      <c r="B54" s="1"/>
      <c r="E54">
        <f t="shared" si="0"/>
        <v>0</v>
      </c>
      <c r="F54">
        <f t="shared" si="1"/>
        <v>0</v>
      </c>
    </row>
    <row r="55" spans="1:6" x14ac:dyDescent="0.25">
      <c r="A55" s="2"/>
      <c r="B55" s="1"/>
      <c r="E55">
        <f t="shared" si="0"/>
        <v>0</v>
      </c>
      <c r="F55">
        <f t="shared" si="1"/>
        <v>0</v>
      </c>
    </row>
    <row r="56" spans="1:6" x14ac:dyDescent="0.25">
      <c r="A56" s="2"/>
      <c r="B56" s="1"/>
      <c r="E56">
        <f t="shared" si="0"/>
        <v>0</v>
      </c>
      <c r="F56">
        <f t="shared" si="1"/>
        <v>0</v>
      </c>
    </row>
    <row r="57" spans="1:6" x14ac:dyDescent="0.25">
      <c r="A57" s="2"/>
      <c r="B57" s="1"/>
      <c r="E57">
        <f t="shared" si="0"/>
        <v>0</v>
      </c>
      <c r="F57">
        <f t="shared" si="1"/>
        <v>0</v>
      </c>
    </row>
    <row r="58" spans="1:6" x14ac:dyDescent="0.25">
      <c r="A58" s="2"/>
      <c r="B58" s="1"/>
      <c r="E58">
        <f t="shared" si="0"/>
        <v>0</v>
      </c>
      <c r="F58">
        <f t="shared" si="1"/>
        <v>0</v>
      </c>
    </row>
    <row r="59" spans="1:6" x14ac:dyDescent="0.25">
      <c r="A59" s="2"/>
      <c r="B59" s="1"/>
      <c r="E59">
        <f t="shared" si="0"/>
        <v>0</v>
      </c>
      <c r="F59">
        <f t="shared" si="1"/>
        <v>0</v>
      </c>
    </row>
    <row r="60" spans="1:6" x14ac:dyDescent="0.25">
      <c r="A60" s="2"/>
      <c r="B60" s="1"/>
      <c r="E60">
        <f t="shared" si="0"/>
        <v>0</v>
      </c>
      <c r="F60">
        <f t="shared" si="1"/>
        <v>0</v>
      </c>
    </row>
    <row r="61" spans="1:6" x14ac:dyDescent="0.25">
      <c r="A61" s="2"/>
      <c r="B61" s="1"/>
      <c r="E61">
        <f t="shared" si="0"/>
        <v>0</v>
      </c>
      <c r="F61">
        <f t="shared" si="1"/>
        <v>0</v>
      </c>
    </row>
    <row r="62" spans="1:6" x14ac:dyDescent="0.25">
      <c r="A62" s="2"/>
      <c r="B62" s="1"/>
      <c r="E62">
        <f t="shared" si="0"/>
        <v>0</v>
      </c>
      <c r="F62">
        <f t="shared" si="1"/>
        <v>0</v>
      </c>
    </row>
    <row r="63" spans="1:6" x14ac:dyDescent="0.25">
      <c r="A63" s="2"/>
      <c r="B63" s="1"/>
      <c r="E63">
        <f t="shared" si="0"/>
        <v>0</v>
      </c>
      <c r="F63">
        <f t="shared" si="1"/>
        <v>0</v>
      </c>
    </row>
    <row r="64" spans="1:6" x14ac:dyDescent="0.25">
      <c r="A64" s="2"/>
      <c r="B64" s="1"/>
      <c r="E64">
        <f t="shared" si="0"/>
        <v>0</v>
      </c>
      <c r="F64">
        <f t="shared" si="1"/>
        <v>0</v>
      </c>
    </row>
    <row r="65" spans="1:6" x14ac:dyDescent="0.25">
      <c r="A65" s="2"/>
      <c r="B65" s="1"/>
      <c r="E65">
        <f t="shared" si="0"/>
        <v>0</v>
      </c>
      <c r="F65">
        <f t="shared" si="1"/>
        <v>0</v>
      </c>
    </row>
    <row r="66" spans="1:6" x14ac:dyDescent="0.25">
      <c r="A66" s="2"/>
      <c r="B66" s="1"/>
      <c r="E66">
        <f t="shared" si="0"/>
        <v>0</v>
      </c>
      <c r="F66">
        <f t="shared" si="1"/>
        <v>0</v>
      </c>
    </row>
    <row r="67" spans="1:6" x14ac:dyDescent="0.25">
      <c r="A67" s="2"/>
      <c r="B67" s="1"/>
      <c r="E67">
        <f t="shared" ref="E67:E97" si="2">$H$2*$B67+$I$2</f>
        <v>0</v>
      </c>
      <c r="F67">
        <f t="shared" ref="F67:F97" si="3">(D67-E67)^2</f>
        <v>0</v>
      </c>
    </row>
    <row r="68" spans="1:6" x14ac:dyDescent="0.25">
      <c r="A68" s="2"/>
      <c r="B68" s="1"/>
      <c r="E68">
        <f t="shared" si="2"/>
        <v>0</v>
      </c>
      <c r="F68">
        <f t="shared" si="3"/>
        <v>0</v>
      </c>
    </row>
    <row r="69" spans="1:6" x14ac:dyDescent="0.25">
      <c r="A69" s="2"/>
      <c r="B69" s="1"/>
      <c r="E69">
        <f t="shared" si="2"/>
        <v>0</v>
      </c>
      <c r="F69">
        <f t="shared" si="3"/>
        <v>0</v>
      </c>
    </row>
    <row r="70" spans="1:6" x14ac:dyDescent="0.25">
      <c r="A70" s="2"/>
      <c r="B70" s="1"/>
      <c r="E70">
        <f t="shared" si="2"/>
        <v>0</v>
      </c>
      <c r="F70">
        <f t="shared" si="3"/>
        <v>0</v>
      </c>
    </row>
    <row r="71" spans="1:6" x14ac:dyDescent="0.25">
      <c r="A71" s="2"/>
      <c r="B71" s="1"/>
      <c r="E71">
        <f t="shared" si="2"/>
        <v>0</v>
      </c>
      <c r="F71">
        <f t="shared" si="3"/>
        <v>0</v>
      </c>
    </row>
    <row r="72" spans="1:6" x14ac:dyDescent="0.25">
      <c r="A72" s="2"/>
      <c r="B72" s="1"/>
      <c r="E72">
        <f t="shared" si="2"/>
        <v>0</v>
      </c>
      <c r="F72">
        <f t="shared" si="3"/>
        <v>0</v>
      </c>
    </row>
    <row r="73" spans="1:6" x14ac:dyDescent="0.25">
      <c r="A73" s="2"/>
      <c r="B73" s="1"/>
      <c r="E73">
        <f t="shared" si="2"/>
        <v>0</v>
      </c>
      <c r="F73">
        <f t="shared" si="3"/>
        <v>0</v>
      </c>
    </row>
    <row r="74" spans="1:6" x14ac:dyDescent="0.25">
      <c r="A74" s="2"/>
      <c r="B74" s="1"/>
      <c r="E74">
        <f t="shared" si="2"/>
        <v>0</v>
      </c>
      <c r="F74">
        <f t="shared" si="3"/>
        <v>0</v>
      </c>
    </row>
    <row r="75" spans="1:6" x14ac:dyDescent="0.25">
      <c r="A75" s="2"/>
      <c r="B75" s="1"/>
      <c r="E75">
        <f t="shared" si="2"/>
        <v>0</v>
      </c>
      <c r="F75">
        <f t="shared" si="3"/>
        <v>0</v>
      </c>
    </row>
    <row r="76" spans="1:6" x14ac:dyDescent="0.25">
      <c r="A76" s="2"/>
      <c r="B76" s="1"/>
      <c r="E76">
        <f t="shared" si="2"/>
        <v>0</v>
      </c>
      <c r="F76">
        <f t="shared" si="3"/>
        <v>0</v>
      </c>
    </row>
    <row r="77" spans="1:6" x14ac:dyDescent="0.25">
      <c r="A77" s="2"/>
      <c r="B77" s="1"/>
      <c r="E77">
        <f t="shared" si="2"/>
        <v>0</v>
      </c>
      <c r="F77">
        <f t="shared" si="3"/>
        <v>0</v>
      </c>
    </row>
    <row r="78" spans="1:6" x14ac:dyDescent="0.25">
      <c r="A78" s="2"/>
      <c r="B78" s="1"/>
      <c r="E78">
        <f t="shared" si="2"/>
        <v>0</v>
      </c>
      <c r="F78">
        <f t="shared" si="3"/>
        <v>0</v>
      </c>
    </row>
    <row r="79" spans="1:6" x14ac:dyDescent="0.25">
      <c r="A79" s="2"/>
      <c r="B79" s="1"/>
      <c r="E79">
        <f t="shared" si="2"/>
        <v>0</v>
      </c>
      <c r="F79">
        <f t="shared" si="3"/>
        <v>0</v>
      </c>
    </row>
    <row r="80" spans="1:6" x14ac:dyDescent="0.25">
      <c r="A80" s="2"/>
      <c r="B80" s="1"/>
      <c r="E80">
        <f t="shared" si="2"/>
        <v>0</v>
      </c>
      <c r="F80">
        <f t="shared" si="3"/>
        <v>0</v>
      </c>
    </row>
    <row r="81" spans="1:6" x14ac:dyDescent="0.25">
      <c r="A81" s="2"/>
      <c r="B81" s="1"/>
      <c r="E81">
        <f t="shared" si="2"/>
        <v>0</v>
      </c>
      <c r="F81">
        <f t="shared" si="3"/>
        <v>0</v>
      </c>
    </row>
    <row r="82" spans="1:6" x14ac:dyDescent="0.25">
      <c r="A82" s="2"/>
      <c r="B82" s="1"/>
      <c r="E82">
        <f t="shared" si="2"/>
        <v>0</v>
      </c>
      <c r="F82">
        <f t="shared" si="3"/>
        <v>0</v>
      </c>
    </row>
    <row r="83" spans="1:6" x14ac:dyDescent="0.25">
      <c r="A83" s="2"/>
      <c r="B83" s="1"/>
      <c r="E83">
        <f t="shared" si="2"/>
        <v>0</v>
      </c>
      <c r="F83">
        <f t="shared" si="3"/>
        <v>0</v>
      </c>
    </row>
    <row r="84" spans="1:6" x14ac:dyDescent="0.25">
      <c r="A84" s="2"/>
      <c r="B84" s="1"/>
      <c r="E84">
        <f t="shared" si="2"/>
        <v>0</v>
      </c>
      <c r="F84">
        <f t="shared" si="3"/>
        <v>0</v>
      </c>
    </row>
    <row r="85" spans="1:6" x14ac:dyDescent="0.25">
      <c r="A85" s="2"/>
      <c r="B85" s="1"/>
      <c r="E85">
        <f t="shared" si="2"/>
        <v>0</v>
      </c>
      <c r="F85">
        <f t="shared" si="3"/>
        <v>0</v>
      </c>
    </row>
    <row r="86" spans="1:6" x14ac:dyDescent="0.25">
      <c r="A86" s="2"/>
      <c r="B86" s="1"/>
      <c r="E86">
        <f t="shared" si="2"/>
        <v>0</v>
      </c>
      <c r="F86">
        <f t="shared" si="3"/>
        <v>0</v>
      </c>
    </row>
    <row r="87" spans="1:6" x14ac:dyDescent="0.25">
      <c r="A87" s="2"/>
      <c r="B87" s="1"/>
      <c r="E87">
        <f t="shared" si="2"/>
        <v>0</v>
      </c>
      <c r="F87">
        <f t="shared" si="3"/>
        <v>0</v>
      </c>
    </row>
    <row r="88" spans="1:6" x14ac:dyDescent="0.25">
      <c r="A88" s="2"/>
      <c r="B88" s="1"/>
      <c r="E88">
        <f t="shared" si="2"/>
        <v>0</v>
      </c>
      <c r="F88">
        <f t="shared" si="3"/>
        <v>0</v>
      </c>
    </row>
    <row r="89" spans="1:6" x14ac:dyDescent="0.25">
      <c r="A89" s="2"/>
      <c r="B89" s="1"/>
      <c r="E89">
        <f t="shared" si="2"/>
        <v>0</v>
      </c>
      <c r="F89">
        <f t="shared" si="3"/>
        <v>0</v>
      </c>
    </row>
    <row r="90" spans="1:6" x14ac:dyDescent="0.25">
      <c r="A90" s="2"/>
      <c r="B90" s="1"/>
      <c r="E90">
        <f t="shared" si="2"/>
        <v>0</v>
      </c>
      <c r="F90">
        <f t="shared" si="3"/>
        <v>0</v>
      </c>
    </row>
    <row r="91" spans="1:6" x14ac:dyDescent="0.25">
      <c r="A91" s="2"/>
      <c r="B91" s="1"/>
      <c r="E91">
        <f t="shared" si="2"/>
        <v>0</v>
      </c>
      <c r="F91">
        <f t="shared" si="3"/>
        <v>0</v>
      </c>
    </row>
    <row r="92" spans="1:6" x14ac:dyDescent="0.25">
      <c r="A92" s="2"/>
      <c r="B92" s="1"/>
      <c r="E92">
        <f t="shared" si="2"/>
        <v>0</v>
      </c>
      <c r="F92">
        <f t="shared" si="3"/>
        <v>0</v>
      </c>
    </row>
    <row r="93" spans="1:6" x14ac:dyDescent="0.25">
      <c r="A93" s="2"/>
      <c r="B93" s="1"/>
      <c r="E93">
        <f t="shared" si="2"/>
        <v>0</v>
      </c>
      <c r="F93">
        <f t="shared" si="3"/>
        <v>0</v>
      </c>
    </row>
    <row r="94" spans="1:6" x14ac:dyDescent="0.25">
      <c r="A94" s="2"/>
      <c r="B94" s="1"/>
      <c r="E94">
        <f t="shared" si="2"/>
        <v>0</v>
      </c>
      <c r="F94">
        <f t="shared" si="3"/>
        <v>0</v>
      </c>
    </row>
    <row r="95" spans="1:6" x14ac:dyDescent="0.25">
      <c r="A95" s="2"/>
      <c r="B95" s="1"/>
      <c r="E95">
        <f t="shared" si="2"/>
        <v>0</v>
      </c>
      <c r="F95">
        <f t="shared" si="3"/>
        <v>0</v>
      </c>
    </row>
    <row r="96" spans="1:6" x14ac:dyDescent="0.25">
      <c r="A96" s="2"/>
      <c r="B96" s="1"/>
      <c r="E96">
        <f t="shared" si="2"/>
        <v>0</v>
      </c>
      <c r="F96">
        <f t="shared" si="3"/>
        <v>0</v>
      </c>
    </row>
    <row r="97" spans="1:6" x14ac:dyDescent="0.25">
      <c r="A97" s="2"/>
      <c r="B97" s="1"/>
      <c r="E97">
        <f t="shared" si="2"/>
        <v>0</v>
      </c>
      <c r="F97">
        <f t="shared" si="3"/>
        <v>0</v>
      </c>
    </row>
    <row r="98" spans="1:6" x14ac:dyDescent="0.25">
      <c r="A98" s="2"/>
    </row>
  </sheetData>
  <mergeCells count="1">
    <mergeCell ref="M15:Q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CopyCommonData">
                <anchor moveWithCells="1" sizeWithCells="1">
                  <from>
                    <xdr:col>13</xdr:col>
                    <xdr:colOff>9525</xdr:colOff>
                    <xdr:row>0</xdr:row>
                    <xdr:rowOff>133350</xdr:rowOff>
                  </from>
                  <to>
                    <xdr:col>15</xdr:col>
                    <xdr:colOff>323850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Button 2">
              <controlPr defaultSize="0" print="0" autoFill="0" autoPict="0" macro="[0]!PreparingForRegression.PreparingForRegression">
                <anchor moveWithCells="1" sizeWithCells="1">
                  <from>
                    <xdr:col>13</xdr:col>
                    <xdr:colOff>66675</xdr:colOff>
                    <xdr:row>5</xdr:row>
                    <xdr:rowOff>114300</xdr:rowOff>
                  </from>
                  <to>
                    <xdr:col>15</xdr:col>
                    <xdr:colOff>333375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5" name="Button 4">
              <controlPr defaultSize="0" print="0" autoFill="0" autoPict="0" macro="[0]!GenerateRandomNumbers">
                <anchor moveWithCells="1" sizeWithCells="1">
                  <from>
                    <xdr:col>16</xdr:col>
                    <xdr:colOff>542925</xdr:colOff>
                    <xdr:row>13</xdr:row>
                    <xdr:rowOff>66675</xdr:rowOff>
                  </from>
                  <to>
                    <xdr:col>19</xdr:col>
                    <xdr:colOff>342900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6" name="Button 6">
              <controlPr defaultSize="0" print="0" autoFill="0" autoPict="0" macro="[0]!GraphTendlineSOlver">
                <anchor moveWithCells="1" sizeWithCells="1">
                  <from>
                    <xdr:col>13</xdr:col>
                    <xdr:colOff>200025</xdr:colOff>
                    <xdr:row>15</xdr:row>
                    <xdr:rowOff>66675</xdr:rowOff>
                  </from>
                  <to>
                    <xdr:col>15</xdr:col>
                    <xdr:colOff>76200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7" name="Button 7">
              <controlPr defaultSize="0" print="0" autoFill="0" autoPict="0" macro="[0]!CalculerCorrelation">
                <anchor moveWithCells="1" sizeWithCells="1">
                  <from>
                    <xdr:col>13</xdr:col>
                    <xdr:colOff>285750</xdr:colOff>
                    <xdr:row>20</xdr:row>
                    <xdr:rowOff>180975</xdr:rowOff>
                  </from>
                  <to>
                    <xdr:col>14</xdr:col>
                    <xdr:colOff>495300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01509-90AB-49A3-B9EC-DC3BFC09E102}">
  <sheetPr codeName="Sheet9"/>
  <dimension ref="A1:B3"/>
  <sheetViews>
    <sheetView workbookViewId="0">
      <selection activeCell="C10" sqref="C10"/>
    </sheetView>
  </sheetViews>
  <sheetFormatPr defaultRowHeight="15" x14ac:dyDescent="0.25"/>
  <cols>
    <col min="1" max="1" width="25.140625" customWidth="1"/>
    <col min="2" max="2" width="21" customWidth="1"/>
  </cols>
  <sheetData>
    <row r="1" spans="1:2" x14ac:dyDescent="0.25">
      <c r="A1" t="s">
        <v>4</v>
      </c>
      <c r="B1" t="s">
        <v>5</v>
      </c>
    </row>
    <row r="2" spans="1:2" x14ac:dyDescent="0.25">
      <c r="A2" t="s">
        <v>0</v>
      </c>
      <c r="B2" t="s">
        <v>2</v>
      </c>
    </row>
    <row r="3" spans="1:2" x14ac:dyDescent="0.25">
      <c r="A3" t="s">
        <v>1</v>
      </c>
      <c r="B3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CHFUSD</vt:lpstr>
      <vt:lpstr>GOLDUSD</vt:lpstr>
      <vt:lpstr>COMPARISON</vt:lpstr>
      <vt:lpstr>Parameters</vt:lpstr>
      <vt:lpstr>coeff1st</vt:lpstr>
      <vt:lpstr>coeff1stdorder</vt:lpstr>
      <vt:lpstr>coeff1storder</vt:lpstr>
      <vt:lpstr>error1st</vt:lpstr>
      <vt:lpstr>error1stOrder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Bonneau</dc:creator>
  <cp:lastModifiedBy>BONNEAU Nathan</cp:lastModifiedBy>
  <dcterms:created xsi:type="dcterms:W3CDTF">2023-10-16T16:52:34Z</dcterms:created>
  <dcterms:modified xsi:type="dcterms:W3CDTF">2024-01-06T15:12:13Z</dcterms:modified>
</cp:coreProperties>
</file>